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2a1a305b8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数据" sheetId="1" r:id="R89004ca182334aad"/>
    <x:sheet xmlns:r="http://schemas.openxmlformats.org/officeDocument/2006/relationships" name="收益矩阵" sheetId="2" r:id="R42d91bf23bdc49e7"/>
    <x:sheet xmlns:r="http://schemas.openxmlformats.org/officeDocument/2006/relationships" name="图表" sheetId="3" r:id="R55d93ee44c90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7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sz val="10"/>
      <x:color rgb="FF1F1F1F"/>
      <x:name val="Microsoft YaHei"/>
    </x:font>
    <x:font>
      <x:b/>
      <x:sz val="10"/>
      <x:name val="Microsoft YaHei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C55A11"/>
      </x:patternFill>
    </x:fill>
  </x:fills>
  <x:borders count="20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  <x:xf numFmtId="0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4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201" fontId="1" fillId="0" borderId="6" xfId="0" applyNumberFormat="1" applyFont="1" applyFill="1" applyBorder="1" applyAlignment="1">
      <x:alignment horizontal="right"/>
    </x:xf>
    <x:xf numFmtId="201" fontId="1" fillId="0" borderId="7" xfId="0" applyNumberFormat="1" applyFont="1" applyFill="1" applyBorder="1" applyAlignment="1">
      <x:alignment horizontal="right"/>
    </x:xf>
    <x:xf numFmtId="0" fontId="5" fillId="5" borderId="8" xfId="0" applyNumberFormat="1" applyFont="1" applyFill="1" applyBorder="1" applyAlignment="1">
      <x:alignment horizontal="center"/>
    </x:xf>
    <x:xf numFmtId="201" fontId="1" fillId="0" borderId="9" xfId="0" applyNumberFormat="1" applyFont="1" applyFill="1" applyBorder="1" applyAlignment="1">
      <x:alignment horizontal="right"/>
    </x:xf>
    <x:xf numFmtId="201" fontId="1" fillId="0" borderId="10" xfId="0" applyNumberFormat="1" applyFont="1" applyFill="1" applyBorder="1" applyAlignment="1">
      <x:alignment horizontal="right"/>
    </x:xf>
    <x:xf numFmtId="0" fontId="2" fillId="4" borderId="11" xfId="0" applyNumberFormat="1" applyFont="1" applyFill="1" applyBorder="1" applyAlignment="1">
      <x:alignment horizontal="center"/>
    </x:xf>
    <x:xf numFmtId="0" fontId="2" fillId="4" borderId="12" xfId="0" applyNumberFormat="1" applyFont="1" applyFill="1" applyBorder="1" applyAlignment="1">
      <x:alignment horizontal="center"/>
    </x:xf>
    <x:xf numFmtId="0" fontId="2" fillId="4" borderId="13" xfId="0" applyNumberFormat="1" applyFont="1" applyFill="1" applyBorder="1" applyAlignment="1">
      <x:alignment horizontal="center"/>
    </x:xf>
    <x:xf numFmtId="0" fontId="5" fillId="5" borderId="14" xfId="0" applyNumberFormat="1" applyFont="1" applyFill="1" applyBorder="1" applyAlignment="1">
      <x:alignment horizontal="center"/>
    </x:xf>
    <x:xf numFmtId="201" fontId="1" fillId="0" borderId="15" xfId="0" applyNumberFormat="1" applyFont="1" applyFill="1" applyBorder="1" applyAlignment="1">
      <x:alignment horizontal="right"/>
    </x:xf>
    <x:xf numFmtId="201" fontId="1" fillId="0" borderId="16" xfId="0" applyNumberFormat="1" applyFont="1" applyFill="1" applyBorder="1" applyAlignment="1">
      <x:alignment horizontal="right"/>
    </x:xf>
    <x:xf numFmtId="0" fontId="5" fillId="5" borderId="17" xfId="0" applyNumberFormat="1" applyFont="1" applyFill="1" applyBorder="1" applyAlignment="1">
      <x:alignment horizontal="center"/>
    </x:xf>
    <x:xf numFmtId="201" fontId="1" fillId="0" borderId="18" xfId="0" applyNumberFormat="1" applyFont="1" applyFill="1" applyBorder="1" applyAlignment="1">
      <x:alignment horizontal="right"/>
    </x:xf>
    <x:xf numFmtId="201" fontId="1" fillId="0" borderId="19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1" fontId="6" fillId="4" borderId="0" xfId="0" applyNumberFormat="1" applyFont="1" applyFill="1" applyBorder="1"/>
    <x:xf numFmtId="201" fontId="6" fillId="4" borderId="1" xfId="0" applyNumberFormat="1" applyFont="1" applyFill="1" applyBorder="1"/>
    <x:xf numFmtId="201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ded26da42463f" /><Relationship Type="http://schemas.openxmlformats.org/officeDocument/2006/relationships/theme" Target="/xl/theme/theme1.xml" Id="R2c4c54de041549e8" /><Relationship Type="http://schemas.openxmlformats.org/officeDocument/2006/relationships/sharedStrings" Target="/xl/sharedStrings.xml" Id="R7621d36be45a4379" /><Relationship Type="http://schemas.openxmlformats.org/officeDocument/2006/relationships/worksheet" Target="/xl/worksheets/sheet1.xml" Id="R89004ca182334aad" /><Relationship Type="http://schemas.openxmlformats.org/officeDocument/2006/relationships/worksheet" Target="/xl/worksheets/sheet2.xml" Id="R42d91bf23bdc49e7" /><Relationship Type="http://schemas.openxmlformats.org/officeDocument/2006/relationships/worksheet" Target="/xl/worksheets/sheet3.xml" Id="R55d93ee44c9048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0fcc0135bc484e" /><Relationship Type="http://schemas.openxmlformats.org/officeDocument/2006/relationships/chart" Target="/xl/drawings/charts/chart2.xml" Id="R79161c1ec95c49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电压变量的单位新增功率减排收益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U1</c:v>
          </c:tx>
          <c:cat>
            <c:strRef>
              <c:f>'图表'!$A$4:$A$11</c:f>
              <c:strCache>
                <c:ptCount val="0"/>
              </c:strCache>
            </c:strRef>
          </c:cat>
          <c:val>
            <c:numRef>
              <c:f>'图表'!$B$4:$B$11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U2</c:v>
          </c:tx>
          <c:cat>
            <c:strRef>
              <c:f>'图表'!$A$4:$A$11</c:f>
              <c:strCache>
                <c:ptCount val="0"/>
              </c:strCache>
            </c:strRef>
          </c:cat>
          <c:val>
            <c:numRef>
              <c:f>'图表'!$C$4:$C$11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U3</c:v>
          </c:tx>
          <c:cat>
            <c:strRef>
              <c:f>'图表'!$A$4:$A$11</c:f>
              <c:strCache>
                <c:ptCount val="0"/>
              </c:strCache>
            </c:strRef>
          </c:cat>
          <c:val>
            <c:numRef>
              <c:f>'图表'!$D$4:$D$11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U4</c:v>
          </c:tx>
          <c:cat>
            <c:strRef>
              <c:f>'图表'!$A$4:$A$11</c:f>
              <c:strCache>
                <c:ptCount val="0"/>
              </c:strCache>
            </c:strRef>
          </c:cat>
          <c:val>
            <c:numRef>
              <c:f>'图表'!$E$4:$E$11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振打周期变量的单位新增功率减排收益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T1</c:v>
          </c:tx>
          <c:cat>
            <c:strRef>
              <c:f>'图表'!$G$4:$G$11</c:f>
              <c:strCache>
                <c:ptCount val="0"/>
              </c:strCache>
            </c:strRef>
          </c:cat>
          <c:val>
            <c:numRef>
              <c:f>'图表'!$H$4:$H$11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T2</c:v>
          </c:tx>
          <c:cat>
            <c:strRef>
              <c:f>'图表'!$G$4:$G$11</c:f>
              <c:strCache>
                <c:ptCount val="0"/>
              </c:strCache>
            </c:strRef>
          </c:cat>
          <c:val>
            <c:numRef>
              <c:f>'图表'!$I$4:$I$11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T3</c:v>
          </c:tx>
          <c:cat>
            <c:strRef>
              <c:f>'图表'!$G$4:$G$11</c:f>
              <c:strCache>
                <c:ptCount val="0"/>
              </c:strCache>
            </c:strRef>
          </c:cat>
          <c:val>
            <c:numRef>
              <c:f>'图表'!$J$4:$J$11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T4</c:v>
          </c:tx>
          <c:cat>
            <c:strRef>
              <c:f>'图表'!$G$4:$G$11</c:f>
              <c:strCache>
                <c:ptCount val="0"/>
              </c:strCache>
            </c:strRef>
          </c:cat>
          <c:val>
            <c:numRef>
              <c:f>'图表'!$K$4:$K$11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0fcc0135bc484e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161c1ec95c49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ginalBenefitLong" displayName="MarginalBenefitLong" ref="A1:G65" headerRowCount="1" totalsRowCount="0" totalsRowShown="0">
  <x:tableColumns count="7">
    <x:tableColumn id="1" name="﻿regime"/>
    <x:tableColumn id="2" name="label"/>
    <x:tableColumn id="3" name="parameter"/>
    <x:tableColumn id="4" name="direction"/>
    <x:tableColumn id="5" name="delta_power_kW"/>
    <x:tableColumn id="6" name="p95_reduction_mgNm3"/>
    <x:tableColumn id="7" name="reduction_per_added_k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99850339bc48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10ad5d7aa8347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8" t="str">
        <x:v>﻿regime</x:v>
      </x:c>
      <x:c r="B1" s="8" t="str">
        <x:v>label</x:v>
      </x:c>
      <x:c r="C1" s="8" t="str">
        <x:v>parameter</x:v>
      </x:c>
      <x:c r="D1" s="8" t="str">
        <x:v>direction</x:v>
      </x:c>
      <x:c r="E1" s="8" t="str">
        <x:v>delta_power_kW</x:v>
      </x:c>
      <x:c r="F1" s="8" t="str">
        <x:v>p95_reduction_mgNm3</x:v>
      </x:c>
      <x:c r="G1" s="8" t="str">
        <x:v>reduction_per_added_kW</x:v>
      </x:c>
    </x:row>
    <x:row r="2">
      <x:c r="A2" s="10" t="str">
        <x:v>0</x:v>
      </x:c>
      <x:c r="B2" s="10" t="str">
        <x:v>R1</x:v>
      </x:c>
      <x:c r="C2" s="2" t="str">
        <x:v>U1_kV</x:v>
      </x:c>
      <x:c r="D2" s="10" t="str">
        <x:v>提高1%</x:v>
      </x:c>
      <x:c r="E2" s="12" t="str">
        <x:v>8.336206254022727</x:v>
      </x:c>
      <x:c r="F2" s="12" t="str">
        <x:v>0.4426573243934513</x:v>
      </x:c>
      <x:c r="G2" s="12" t="str">
        <x:v>0.05310057247921885</x:v>
      </x:c>
    </x:row>
    <x:row r="3">
      <x:c r="A3" s="10" t="str">
        <x:v>0</x:v>
      </x:c>
      <x:c r="B3" s="10" t="str">
        <x:v>R1</x:v>
      </x:c>
      <x:c r="C3" s="2" t="str">
        <x:v>U2_kV</x:v>
      </x:c>
      <x:c r="D3" s="10" t="str">
        <x:v>提高1%</x:v>
      </x:c>
      <x:c r="E3" s="12" t="str">
        <x:v>8.044658829801847</x:v>
      </x:c>
      <x:c r="F3" s="12" t="str">
        <x:v>0.42179281536382085</x:v>
      </x:c>
      <x:c r="G3" s="12" t="str">
        <x:v>0.05243141123664163</x:v>
      </x:c>
    </x:row>
    <x:row r="4">
      <x:c r="A4" s="10" t="str">
        <x:v>0</x:v>
      </x:c>
      <x:c r="B4" s="10" t="str">
        <x:v>R1</x:v>
      </x:c>
      <x:c r="C4" s="2" t="str">
        <x:v>U3_kV</x:v>
      </x:c>
      <x:c r="D4" s="10" t="str">
        <x:v>提高1%</x:v>
      </x:c>
      <x:c r="E4" s="12" t="str">
        <x:v>5.823553910641294</x:v>
      </x:c>
      <x:c r="F4" s="12" t="str">
        <x:v>0.29357982493294443</x:v>
      </x:c>
      <x:c r="G4" s="12" t="str">
        <x:v>0.050412485131543186</x:v>
      </x:c>
    </x:row>
    <x:row r="5">
      <x:c r="A5" s="10" t="str">
        <x:v>0</x:v>
      </x:c>
      <x:c r="B5" s="10" t="str">
        <x:v>R1</x:v>
      </x:c>
      <x:c r="C5" s="2" t="str">
        <x:v>U4_kV</x:v>
      </x:c>
      <x:c r="D5" s="10" t="str">
        <x:v>提高1%</x:v>
      </x:c>
      <x:c r="E5" s="12" t="str">
        <x:v>5.49037093375955</x:v>
      </x:c>
      <x:c r="F5" s="12" t="str">
        <x:v>0.28879184404749303</x:v>
      </x:c>
      <x:c r="G5" s="12" t="str">
        <x:v>0.05259969636509456</x:v>
      </x:c>
    </x:row>
    <x:row r="6">
      <x:c r="A6" s="10" t="str">
        <x:v>0</x:v>
      </x:c>
      <x:c r="B6" s="10" t="str">
        <x:v>R1</x:v>
      </x:c>
      <x:c r="C6" s="2" t="str">
        <x:v>T1_s</x:v>
      </x:c>
      <x:c r="D6" s="10" t="str">
        <x:v>缩短1%</x:v>
      </x:c>
      <x:c r="E6" s="12" t="str">
        <x:v>1.8716893507446457</x:v>
      </x:c>
      <x:c r="F6" s="12" t="str">
        <x:v>0.016035549930828452</x:v>
      </x:c>
      <x:c r="G6" s="12" t="str">
        <x:v>0.008567420616273079</x:v>
      </x:c>
    </x:row>
    <x:row r="7">
      <x:c r="A7" s="10" t="str">
        <x:v>0</x:v>
      </x:c>
      <x:c r="B7" s="10" t="str">
        <x:v>R1</x:v>
      </x:c>
      <x:c r="C7" s="2" t="str">
        <x:v>T2_s</x:v>
      </x:c>
      <x:c r="D7" s="10" t="str">
        <x:v>缩短1%</x:v>
      </x:c>
      <x:c r="E7" s="12" t="str">
        <x:v>1.8822216636663143</x:v>
      </x:c>
      <x:c r="F7" s="12" t="str">
        <x:v>0.020569997352239966</x:v>
      </x:c>
      <x:c r="G7" s="12" t="str">
        <x:v>0.010928573264942867</x:v>
      </x:c>
    </x:row>
    <x:row r="8">
      <x:c r="A8" s="10" t="str">
        <x:v>0</x:v>
      </x:c>
      <x:c r="B8" s="10" t="str">
        <x:v>R1</x:v>
      </x:c>
      <x:c r="C8" s="2" t="str">
        <x:v>T3_s</x:v>
      </x:c>
      <x:c r="D8" s="10" t="str">
        <x:v>缩短1%</x:v>
      </x:c>
      <x:c r="E8" s="12" t="str">
        <x:v>1.0921944142257871</x:v>
      </x:c>
      <x:c r="F8" s="12" t="str">
        <x:v>0.006519970260020713</x:v>
      </x:c>
      <x:c r="G8" s="12" t="str">
        <x:v>0.0059696059374579925</x:v>
      </x:c>
    </x:row>
    <x:row r="9">
      <x:c r="A9" s="10" t="str">
        <x:v>0</x:v>
      </x:c>
      <x:c r="B9" s="10" t="str">
        <x:v>R1</x:v>
      </x:c>
      <x:c r="C9" s="2" t="str">
        <x:v>T4_s</x:v>
      </x:c>
      <x:c r="D9" s="10" t="str">
        <x:v>缩短1%</x:v>
      </x:c>
      <x:c r="E9" s="12" t="str">
        <x:v>1.0567070258191507</x:v>
      </x:c>
      <x:c r="F9" s="12" t="str">
        <x:v>0.006669430672872068</x:v>
      </x:c>
      <x:c r="G9" s="12" t="str">
        <x:v>0.006311522976486296</x:v>
      </x:c>
    </x:row>
    <x:row r="10">
      <x:c r="A10" s="10" t="str">
        <x:v>1</x:v>
      </x:c>
      <x:c r="B10" s="10" t="str">
        <x:v>R2</x:v>
      </x:c>
      <x:c r="C10" s="2" t="str">
        <x:v>U1_kV</x:v>
      </x:c>
      <x:c r="D10" s="10" t="str">
        <x:v>提高1%</x:v>
      </x:c>
      <x:c r="E10" s="12" t="str">
        <x:v>7.346859941070306</x:v>
      </x:c>
      <x:c r="F10" s="12" t="str">
        <x:v>0.43208473211387144</x:v>
      </x:c>
      <x:c r="G10" s="12" t="str">
        <x:v>0.058812164050989706</x:v>
      </x:c>
    </x:row>
    <x:row r="11">
      <x:c r="A11" s="10" t="str">
        <x:v>1</x:v>
      </x:c>
      <x:c r="B11" s="10" t="str">
        <x:v>R2</x:v>
      </x:c>
      <x:c r="C11" s="2" t="str">
        <x:v>U2_kV</x:v>
      </x:c>
      <x:c r="D11" s="10" t="str">
        <x:v>提高1%</x:v>
      </x:c>
      <x:c r="E11" s="12" t="str">
        <x:v>7.966826082708849</x:v>
      </x:c>
      <x:c r="F11" s="12" t="str">
        <x:v>0.45253303921104227</x:v>
      </x:c>
      <x:c r="G11" s="12" t="str">
        <x:v>0.0568021737280317</x:v>
      </x:c>
    </x:row>
    <x:row r="12">
      <x:c r="A12" s="10" t="str">
        <x:v>1</x:v>
      </x:c>
      <x:c r="B12" s="10" t="str">
        <x:v>R2</x:v>
      </x:c>
      <x:c r="C12" s="2" t="str">
        <x:v>U3_kV</x:v>
      </x:c>
      <x:c r="D12" s="10" t="str">
        <x:v>提高1%</x:v>
      </x:c>
      <x:c r="E12" s="12" t="str">
        <x:v>5.079011613026523</x:v>
      </x:c>
      <x:c r="F12" s="12" t="str">
        <x:v>0.3078257813314238</x:v>
      </x:c>
      <x:c r="G12" s="12" t="str">
        <x:v>0.06060741829018856</x:v>
      </x:c>
    </x:row>
    <x:row r="13">
      <x:c r="A13" s="10" t="str">
        <x:v>1</x:v>
      </x:c>
      <x:c r="B13" s="10" t="str">
        <x:v>R2</x:v>
      </x:c>
      <x:c r="C13" s="2" t="str">
        <x:v>U4_kV</x:v>
      </x:c>
      <x:c r="D13" s="10" t="str">
        <x:v>上限处反向差分</x:v>
      </x:c>
      <x:c r="E13" s="12" t="str">
        <x:v>5.744808217992613</x:v>
      </x:c>
      <x:c r="F13" s="12" t="str">
        <x:v>0.3291722500252874</x:v>
      </x:c>
      <x:c r="G13" s="12" t="str">
        <x:v>0.05729908423997987</x:v>
      </x:c>
    </x:row>
    <x:row r="14">
      <x:c r="A14" s="10" t="str">
        <x:v>1</x:v>
      </x:c>
      <x:c r="B14" s="10" t="str">
        <x:v>R2</x:v>
      </x:c>
      <x:c r="C14" s="2" t="str">
        <x:v>T1_s</x:v>
      </x:c>
      <x:c r="D14" s="10" t="str">
        <x:v>缩短1%</x:v>
      </x:c>
      <x:c r="E14" s="12" t="str">
        <x:v>1.8716893507446457</x:v>
      </x:c>
      <x:c r="F14" s="12" t="str">
        <x:v>0.02573710798539608</x:v>
      </x:c>
      <x:c r="G14" s="12" t="str">
        <x:v>0.013750736988035249</x:v>
      </x:c>
    </x:row>
    <x:row r="15">
      <x:c r="A15" s="10" t="str">
        <x:v>1</x:v>
      </x:c>
      <x:c r="B15" s="10" t="str">
        <x:v>R2</x:v>
      </x:c>
      <x:c r="C15" s="2" t="str">
        <x:v>T2_s</x:v>
      </x:c>
      <x:c r="D15" s="10" t="str">
        <x:v>缩短1%</x:v>
      </x:c>
      <x:c r="E15" s="12" t="str">
        <x:v>1.882221663663131</x:v>
      </x:c>
      <x:c r="F15" s="12" t="str">
        <x:v>0.02667033073389824</x:v>
      </x:c>
      <x:c r="G15" s="12" t="str">
        <x:v>0.014169601407090986</x:v>
      </x:c>
    </x:row>
    <x:row r="16">
      <x:c r="A16" s="10" t="str">
        <x:v>1</x:v>
      </x:c>
      <x:c r="B16" s="10" t="str">
        <x:v>R2</x:v>
      </x:c>
      <x:c r="C16" s="2" t="str">
        <x:v>T3_s</x:v>
      </x:c>
      <x:c r="D16" s="10" t="str">
        <x:v>缩短1%</x:v>
      </x:c>
      <x:c r="E16" s="12" t="str">
        <x:v>1.0921944142255597</x:v>
      </x:c>
      <x:c r="F16" s="12" t="str">
        <x:v>0.011106934493760434</x:v>
      </x:c>
      <x:c r="G16" s="12" t="str">
        <x:v>0.010169374929129268</x:v>
      </x:c>
    </x:row>
    <x:row r="17">
      <x:c r="A17" s="10" t="str">
        <x:v>1</x:v>
      </x:c>
      <x:c r="B17" s="10" t="str">
        <x:v>R2</x:v>
      </x:c>
      <x:c r="C17" s="2" t="str">
        <x:v>T4_s</x:v>
      </x:c>
      <x:c r="D17" s="10" t="str">
        <x:v>缩短1%</x:v>
      </x:c>
      <x:c r="E17" s="12" t="str">
        <x:v>1.0567070258191507</x:v>
      </x:c>
      <x:c r="F17" s="12" t="str">
        <x:v>0.008729802436631573</x:v>
      </x:c>
      <x:c r="G17" s="12" t="str">
        <x:v>0.008261327144923922</x:v>
      </x:c>
    </x:row>
    <x:row r="18">
      <x:c r="A18" s="10" t="str">
        <x:v>2</x:v>
      </x:c>
      <x:c r="B18" s="10" t="str">
        <x:v>R3</x:v>
      </x:c>
      <x:c r="C18" s="2" t="str">
        <x:v>U1_kV</x:v>
      </x:c>
      <x:c r="D18" s="10" t="str">
        <x:v>提高1%</x:v>
      </x:c>
      <x:c r="E18" s="12" t="str">
        <x:v>8.074148570216948</x:v>
      </x:c>
      <x:c r="F18" s="12" t="str">
        <x:v>0.4604364394829368</x:v>
      </x:c>
      <x:c r="G18" s="12" t="str">
        <x:v>0.057026005340221904</x:v>
      </x:c>
    </x:row>
    <x:row r="19">
      <x:c r="A19" s="10" t="str">
        <x:v>2</x:v>
      </x:c>
      <x:c r="B19" s="10" t="str">
        <x:v>R3</x:v>
      </x:c>
      <x:c r="C19" s="2" t="str">
        <x:v>U2_kV</x:v>
      </x:c>
      <x:c r="D19" s="10" t="str">
        <x:v>提高1%</x:v>
      </x:c>
      <x:c r="E19" s="12" t="str">
        <x:v>8.536716460006119</x:v>
      </x:c>
      <x:c r="F19" s="12" t="str">
        <x:v>0.4680643403893061</x:v>
      </x:c>
      <x:c r="G19" s="12" t="str">
        <x:v>0.05482955215651741</x:v>
      </x:c>
    </x:row>
    <x:row r="20">
      <x:c r="A20" s="10" t="str">
        <x:v>2</x:v>
      </x:c>
      <x:c r="B20" s="10" t="str">
        <x:v>R3</x:v>
      </x:c>
      <x:c r="C20" s="2" t="str">
        <x:v>U3_kV</x:v>
      </x:c>
      <x:c r="D20" s="10" t="str">
        <x:v>提高1%</x:v>
      </x:c>
      <x:c r="E20" s="12" t="str">
        <x:v>4.971239490721928</x:v>
      </x:c>
      <x:c r="F20" s="12" t="str">
        <x:v>0.29173751737368114</x:v>
      </x:c>
      <x:c r="G20" s="12" t="str">
        <x:v>0.058685065951492664</x:v>
      </x:c>
    </x:row>
    <x:row r="21">
      <x:c r="A21" s="10" t="str">
        <x:v>2</x:v>
      </x:c>
      <x:c r="B21" s="10" t="str">
        <x:v>R3</x:v>
      </x:c>
      <x:c r="C21" s="2" t="str">
        <x:v>U4_kV</x:v>
      </x:c>
      <x:c r="D21" s="10" t="str">
        <x:v>提高1%</x:v>
      </x:c>
      <x:c r="E21" s="12" t="str">
        <x:v>5.389329511499909</x:v>
      </x:c>
      <x:c r="F21" s="12" t="str">
        <x:v>0.2925587965633252</x:v>
      </x:c>
      <x:c r="G21" s="12" t="str">
        <x:v>0.05428482261829689</x:v>
      </x:c>
    </x:row>
    <x:row r="22">
      <x:c r="A22" s="10" t="str">
        <x:v>2</x:v>
      </x:c>
      <x:c r="B22" s="10" t="str">
        <x:v>R3</x:v>
      </x:c>
      <x:c r="C22" s="2" t="str">
        <x:v>T1_s</x:v>
      </x:c>
      <x:c r="D22" s="10" t="str">
        <x:v>缩短1%</x:v>
      </x:c>
      <x:c r="E22" s="12" t="str">
        <x:v>1.8716893508089925</x:v>
      </x:c>
      <x:c r="F22" s="12" t="str">
        <x:v>0.030409564809527723</x:v>
      </x:c>
      <x:c r="G22" s="12" t="str">
        <x:v>0.01624712177604896</x:v>
      </x:c>
    </x:row>
    <x:row r="23">
      <x:c r="A23" s="10" t="str">
        <x:v>2</x:v>
      </x:c>
      <x:c r="B23" s="10" t="str">
        <x:v>R3</x:v>
      </x:c>
      <x:c r="C23" s="2" t="str">
        <x:v>T2_s</x:v>
      </x:c>
      <x:c r="D23" s="10" t="str">
        <x:v>缩短1%</x:v>
      </x:c>
      <x:c r="E23" s="12" t="str">
        <x:v>1.8822216636629037</x:v>
      </x:c>
      <x:c r="F23" s="12" t="str">
        <x:v>0.028162531786442457</x:v>
      </x:c>
      <x:c r="G23" s="12" t="str">
        <x:v>0.014962388506163864</x:v>
      </x:c>
    </x:row>
    <x:row r="24">
      <x:c r="A24" s="10" t="str">
        <x:v>2</x:v>
      </x:c>
      <x:c r="B24" s="10" t="str">
        <x:v>R3</x:v>
      </x:c>
      <x:c r="C24" s="2" t="str">
        <x:v>T3_s</x:v>
      </x:c>
      <x:c r="D24" s="10" t="str">
        <x:v>缩短1%</x:v>
      </x:c>
      <x:c r="E24" s="12" t="str">
        <x:v>1.0921944142257871</x:v>
      </x:c>
      <x:c r="F24" s="12" t="str">
        <x:v>0.007699958871112855</x:v>
      </x:c>
      <x:c r="G24" s="12" t="str">
        <x:v>0.007049989242593818</x:v>
      </x:c>
    </x:row>
    <x:row r="25">
      <x:c r="A25" s="10" t="str">
        <x:v>2</x:v>
      </x:c>
      <x:c r="B25" s="10" t="str">
        <x:v>R3</x:v>
      </x:c>
      <x:c r="C25" s="2" t="str">
        <x:v>T4_s</x:v>
      </x:c>
      <x:c r="D25" s="10" t="str">
        <x:v>缩短1%</x:v>
      </x:c>
      <x:c r="E25" s="12" t="str">
        <x:v>1.0567070258191507</x:v>
      </x:c>
      <x:c r="F25" s="12" t="str">
        <x:v>0.014405703197137854</x:v>
      </x:c>
      <x:c r="G25" s="12" t="str">
        <x:v>0.013632636904226761</x:v>
      </x:c>
    </x:row>
    <x:row r="26">
      <x:c r="A26" s="10" t="str">
        <x:v>3</x:v>
      </x:c>
      <x:c r="B26" s="10" t="str">
        <x:v>R4</x:v>
      </x:c>
      <x:c r="C26" s="2" t="str">
        <x:v>U1_kV</x:v>
      </x:c>
      <x:c r="D26" s="10" t="str">
        <x:v>上限处反向差分</x:v>
      </x:c>
      <x:c r="E26" s="12" t="str">
        <x:v>8.385055316666694</x:v>
      </x:c>
      <x:c r="F26" s="12" t="str">
        <x:v>0.45119367704430324</x:v>
      </x:c>
      <x:c r="G26" s="12" t="str">
        <x:v>0.05380926660644452</x:v>
      </x:c>
    </x:row>
    <x:row r="27">
      <x:c r="A27" s="10" t="str">
        <x:v>3</x:v>
      </x:c>
      <x:c r="B27" s="10" t="str">
        <x:v>R4</x:v>
      </x:c>
      <x:c r="C27" s="2" t="str">
        <x:v>U2_kV</x:v>
      </x:c>
      <x:c r="D27" s="10" t="str">
        <x:v>上限处反向差分</x:v>
      </x:c>
      <x:c r="E27" s="12" t="str">
        <x:v>8.504933477813665</x:v>
      </x:c>
      <x:c r="F27" s="12" t="str">
        <x:v>0.49643245153573723</x:v>
      </x:c>
      <x:c r="G27" s="12" t="str">
        <x:v>0.05836993938056685</x:v>
      </x:c>
    </x:row>
    <x:row r="28">
      <x:c r="A28" s="10" t="str">
        <x:v>3</x:v>
      </x:c>
      <x:c r="B28" s="10" t="str">
        <x:v>R4</x:v>
      </x:c>
      <x:c r="C28" s="2" t="str">
        <x:v>U3_kV</x:v>
      </x:c>
      <x:c r="D28" s="10" t="str">
        <x:v>提高1%</x:v>
      </x:c>
      <x:c r="E28" s="12" t="str">
        <x:v>4.413095844461623</x:v>
      </x:c>
      <x:c r="F28" s="12" t="str">
        <x:v>0.25990458200445055</x:v>
      </x:c>
      <x:c r="G28" s="12" t="str">
        <x:v>0.05889393549669387</x:v>
      </x:c>
    </x:row>
    <x:row r="29">
      <x:c r="A29" s="10" t="str">
        <x:v>3</x:v>
      </x:c>
      <x:c r="B29" s="10" t="str">
        <x:v>R4</x:v>
      </x:c>
      <x:c r="C29" s="2" t="str">
        <x:v>U4_kV</x:v>
      </x:c>
      <x:c r="D29" s="10" t="str">
        <x:v>上限处反向差分</x:v>
      </x:c>
      <x:c r="E29" s="12" t="str">
        <x:v>5.744808217992613</x:v>
      </x:c>
      <x:c r="F29" s="12" t="str">
        <x:v>0.32604866887295536</x:v>
      </x:c>
      <x:c r="G29" s="12" t="str">
        <x:v>0.05675536179811505</x:v>
      </x:c>
    </x:row>
    <x:row r="30">
      <x:c r="A30" s="10" t="str">
        <x:v>3</x:v>
      </x:c>
      <x:c r="B30" s="10" t="str">
        <x:v>R4</x:v>
      </x:c>
      <x:c r="C30" s="2" t="str">
        <x:v>T1_s</x:v>
      </x:c>
      <x:c r="D30" s="10" t="str">
        <x:v>缩短1%</x:v>
      </x:c>
      <x:c r="E30" s="12" t="str">
        <x:v>1.9013861763646673</x:v>
      </x:c>
      <x:c r="F30" s="12" t="str">
        <x:v>0.021341562750867737</x:v>
      </x:c>
      <x:c r="G30" s="12" t="str">
        <x:v>0.011224212638208764</x:v>
      </x:c>
    </x:row>
    <x:row r="31">
      <x:c r="A31" s="10" t="str">
        <x:v>3</x:v>
      </x:c>
      <x:c r="B31" s="10" t="str">
        <x:v>R4</x:v>
      </x:c>
      <x:c r="C31" s="2" t="str">
        <x:v>T2_s</x:v>
      </x:c>
      <x:c r="D31" s="10" t="str">
        <x:v>缩短1%</x:v>
      </x:c>
      <x:c r="E31" s="12" t="str">
        <x:v>1.9046208422257678</x:v>
      </x:c>
      <x:c r="F31" s="12" t="str">
        <x:v>0.027860656821765417</x:v>
      </x:c>
      <x:c r="G31" s="12" t="str">
        <x:v>0.01462792814406412</x:v>
      </x:c>
    </x:row>
    <x:row r="32">
      <x:c r="A32" s="10" t="str">
        <x:v>3</x:v>
      </x:c>
      <x:c r="B32" s="10" t="str">
        <x:v>R4</x:v>
      </x:c>
      <x:c r="C32" s="2" t="str">
        <x:v>T3_s</x:v>
      </x:c>
      <x:c r="D32" s="10" t="str">
        <x:v>缩短1%</x:v>
      </x:c>
      <x:c r="E32" s="12" t="str">
        <x:v>1.0921944142255597</x:v>
      </x:c>
      <x:c r="F32" s="12" t="str">
        <x:v>0.012204268505911386</x:v>
      </x:c>
      <x:c r="G32" s="12" t="str">
        <x:v>0.011174080682847152</x:v>
      </x:c>
    </x:row>
    <x:row r="33">
      <x:c r="A33" s="10" t="str">
        <x:v>3</x:v>
      </x:c>
      <x:c r="B33" s="10" t="str">
        <x:v>R4</x:v>
      </x:c>
      <x:c r="C33" s="2" t="str">
        <x:v>T4_s</x:v>
      </x:c>
      <x:c r="D33" s="10" t="str">
        <x:v>缩短1%</x:v>
      </x:c>
      <x:c r="E33" s="12" t="str">
        <x:v>1.0730825047128292</x:v>
      </x:c>
      <x:c r="F33" s="12" t="str">
        <x:v>0.011995882548280434</x:v>
      </x:c>
      <x:c r="G33" s="12" t="str">
        <x:v>0.01117890049981822</x:v>
      </x:c>
    </x:row>
    <x:row r="34">
      <x:c r="A34" s="10" t="str">
        <x:v>4</x:v>
      </x:c>
      <x:c r="B34" s="10" t="str">
        <x:v>R5</x:v>
      </x:c>
      <x:c r="C34" s="2" t="str">
        <x:v>U1_kV</x:v>
      </x:c>
      <x:c r="D34" s="10" t="str">
        <x:v>上限处反向差分</x:v>
      </x:c>
      <x:c r="E34" s="12" t="str">
        <x:v>8.497124287244333</x:v>
      </x:c>
      <x:c r="F34" s="12" t="str">
        <x:v>0.5052728436460256</x:v>
      </x:c>
      <x:c r="G34" s="12" t="str">
        <x:v>0.05946398176198604</x:v>
      </x:c>
    </x:row>
    <x:row r="35">
      <x:c r="A35" s="10" t="str">
        <x:v>4</x:v>
      </x:c>
      <x:c r="B35" s="10" t="str">
        <x:v>R5</x:v>
      </x:c>
      <x:c r="C35" s="2" t="str">
        <x:v>U2_kV</x:v>
      </x:c>
      <x:c r="D35" s="10" t="str">
        <x:v>上限处反向差分</x:v>
      </x:c>
      <x:c r="E35" s="12" t="str">
        <x:v>8.649572810458267</x:v>
      </x:c>
      <x:c r="F35" s="12" t="str">
        <x:v>0.510071550139612</x:v>
      </x:c>
      <x:c r="G35" s="12" t="str">
        <x:v>0.058970721597126796</x:v>
      </x:c>
    </x:row>
    <x:row r="36">
      <x:c r="A36" s="10" t="str">
        <x:v>4</x:v>
      </x:c>
      <x:c r="B36" s="10" t="str">
        <x:v>R5</x:v>
      </x:c>
      <x:c r="C36" s="2" t="str">
        <x:v>U3_kV</x:v>
      </x:c>
      <x:c r="D36" s="10" t="str">
        <x:v>提高1%</x:v>
      </x:c>
      <x:c r="E36" s="12" t="str">
        <x:v>4.785046845860961</x:v>
      </x:c>
      <x:c r="F36" s="12" t="str">
        <x:v>0.2725385791759223</x:v>
      </x:c>
      <x:c r="G36" s="12" t="str">
        <x:v>0.056956303241141024</x:v>
      </x:c>
    </x:row>
    <x:row r="37">
      <x:c r="A37" s="10" t="str">
        <x:v>4</x:v>
      </x:c>
      <x:c r="B37" s="10" t="str">
        <x:v>R5</x:v>
      </x:c>
      <x:c r="C37" s="2" t="str">
        <x:v>U4_kV</x:v>
      </x:c>
      <x:c r="D37" s="10" t="str">
        <x:v>提高1%</x:v>
      </x:c>
      <x:c r="E37" s="12" t="str">
        <x:v>5.163064051585934</x:v>
      </x:c>
      <x:c r="F37" s="12" t="str">
        <x:v>0.29320295116169426</x:v>
      </x:c>
      <x:c r="G37" s="12" t="str">
        <x:v>0.056788555832777504</x:v>
      </x:c>
    </x:row>
    <x:row r="38">
      <x:c r="A38" s="10" t="str">
        <x:v>4</x:v>
      </x:c>
      <x:c r="B38" s="10" t="str">
        <x:v>R5</x:v>
      </x:c>
      <x:c r="C38" s="2" t="str">
        <x:v>T1_s</x:v>
      </x:c>
      <x:c r="D38" s="10" t="str">
        <x:v>缩短1%</x:v>
      </x:c>
      <x:c r="E38" s="12" t="str">
        <x:v>2.1037728157853053</x:v>
      </x:c>
      <x:c r="F38" s="12" t="str">
        <x:v>0.013506920195329286</x:v>
      </x:c>
      <x:c r="G38" s="12" t="str">
        <x:v>0.006420332126160383</x:v>
      </x:c>
    </x:row>
    <x:row r="39">
      <x:c r="A39" s="10" t="str">
        <x:v>4</x:v>
      </x:c>
      <x:c r="B39" s="10" t="str">
        <x:v>R5</x:v>
      </x:c>
      <x:c r="C39" s="2" t="str">
        <x:v>T2_s</x:v>
      </x:c>
      <x:c r="D39" s="10" t="str">
        <x:v>缩短1%</x:v>
      </x:c>
      <x:c r="E39" s="12" t="str">
        <x:v>2.1114641732092423</x:v>
      </x:c>
      <x:c r="F39" s="12" t="str">
        <x:v>0.012782802931967652</x:v>
      </x:c>
      <x:c r="G39" s="12" t="str">
        <x:v>0.006053999444631306</x:v>
      </x:c>
    </x:row>
    <x:row r="40">
      <x:c r="A40" s="10" t="str">
        <x:v>4</x:v>
      </x:c>
      <x:c r="B40" s="10" t="str">
        <x:v>R5</x:v>
      </x:c>
      <x:c r="C40" s="2" t="str">
        <x:v>T3_s</x:v>
      </x:c>
      <x:c r="D40" s="10" t="str">
        <x:v>缩短1%</x:v>
      </x:c>
      <x:c r="E40" s="12" t="str">
        <x:v>1.2051071167643386</x:v>
      </x:c>
      <x:c r="F40" s="12" t="str">
        <x:v>0.003497485161330971</x:v>
      </x:c>
      <x:c r="G40" s="12" t="str">
        <x:v>0.00290221932364118</x:v>
      </x:c>
    </x:row>
    <x:row r="41">
      <x:c r="A41" s="10" t="str">
        <x:v>4</x:v>
      </x:c>
      <x:c r="B41" s="10" t="str">
        <x:v>R5</x:v>
      </x:c>
      <x:c r="C41" s="2" t="str">
        <x:v>T4_s</x:v>
      </x:c>
      <x:c r="D41" s="10" t="str">
        <x:v>缩短1%</x:v>
      </x:c>
      <x:c r="E41" s="12" t="str">
        <x:v>1.186141036508161</x:v>
      </x:c>
      <x:c r="F41" s="12" t="str">
        <x:v>0.0026580859570994875</x:v>
      </x:c>
      <x:c r="G41" s="12" t="str">
        <x:v>0.002240952698950989</x:v>
      </x:c>
    </x:row>
    <x:row r="42">
      <x:c r="A42" s="10" t="str">
        <x:v>5</x:v>
      </x:c>
      <x:c r="B42" s="10" t="str">
        <x:v>R6</x:v>
      </x:c>
      <x:c r="C42" s="2" t="str">
        <x:v>U1_kV</x:v>
      </x:c>
      <x:c r="D42" s="10" t="str">
        <x:v>提高1%</x:v>
      </x:c>
      <x:c r="E42" s="12" t="str">
        <x:v>7.823548072248741</x:v>
      </x:c>
      <x:c r="F42" s="12" t="str">
        <x:v>0.44322278120945136</x:v>
      </x:c>
      <x:c r="G42" s="12" t="str">
        <x:v>0.05665240081819486</x:v>
      </x:c>
    </x:row>
    <x:row r="43">
      <x:c r="A43" s="10" t="str">
        <x:v>5</x:v>
      </x:c>
      <x:c r="B43" s="10" t="str">
        <x:v>R6</x:v>
      </x:c>
      <x:c r="C43" s="2" t="str">
        <x:v>U2_kV</x:v>
      </x:c>
      <x:c r="D43" s="10" t="str">
        <x:v>提高1%</x:v>
      </x:c>
      <x:c r="E43" s="12" t="str">
        <x:v>7.844540136587966</x:v>
      </x:c>
      <x:c r="F43" s="12" t="str">
        <x:v>0.438144798373294</x:v>
      </x:c>
      <x:c r="G43" s="12" t="str">
        <x:v>0.05585347142654406</x:v>
      </x:c>
    </x:row>
    <x:row r="44">
      <x:c r="A44" s="10" t="str">
        <x:v>5</x:v>
      </x:c>
      <x:c r="B44" s="10" t="str">
        <x:v>R6</x:v>
      </x:c>
      <x:c r="C44" s="2" t="str">
        <x:v>U3_kV</x:v>
      </x:c>
      <x:c r="D44" s="10" t="str">
        <x:v>提高1%</x:v>
      </x:c>
      <x:c r="E44" s="12" t="str">
        <x:v>4.6285845405000146</x:v>
      </x:c>
      <x:c r="F44" s="12" t="str">
        <x:v>0.25942483122612003</x:v>
      </x:c>
      <x:c r="G44" s="12" t="str">
        <x:v>0.05604841587231655</x:v>
      </x:c>
    </x:row>
    <x:row r="45">
      <x:c r="A45" s="10" t="str">
        <x:v>5</x:v>
      </x:c>
      <x:c r="B45" s="10" t="str">
        <x:v>R6</x:v>
      </x:c>
      <x:c r="C45" s="2" t="str">
        <x:v>U4_kV</x:v>
      </x:c>
      <x:c r="D45" s="10" t="str">
        <x:v>提高1%</x:v>
      </x:c>
      <x:c r="E45" s="12" t="str">
        <x:v>5.6374666969393274</x:v>
      </x:c>
      <x:c r="F45" s="12" t="str">
        <x:v>0.3027763415025575</x:v>
      </x:c>
      <x:c r="G45" s="12" t="str">
        <x:v>0.0537078723084856</x:v>
      </x:c>
    </x:row>
    <x:row r="46">
      <x:c r="A46" s="10" t="str">
        <x:v>5</x:v>
      </x:c>
      <x:c r="B46" s="10" t="str">
        <x:v>R6</x:v>
      </x:c>
      <x:c r="C46" s="2" t="str">
        <x:v>T1_s</x:v>
      </x:c>
      <x:c r="D46" s="10" t="str">
        <x:v>缩短1%</x:v>
      </x:c>
      <x:c r="E46" s="12" t="str">
        <x:v>2.1217761182329014</x:v>
      </x:c>
      <x:c r="F46" s="12" t="str">
        <x:v>0.012892564382005034</x:v>
      </x:c>
      <x:c r="G46" s="12" t="str">
        <x:v>0.006076307613803509</x:v>
      </x:c>
    </x:row>
    <x:row r="47">
      <x:c r="A47" s="10" t="str">
        <x:v>5</x:v>
      </x:c>
      <x:c r="B47" s="10" t="str">
        <x:v>R6</x:v>
      </x:c>
      <x:c r="C47" s="2" t="str">
        <x:v>T2_s</x:v>
      </x:c>
      <x:c r="D47" s="10" t="str">
        <x:v>缩短1%</x:v>
      </x:c>
      <x:c r="E47" s="12" t="str">
        <x:v>2.135236798629421</x:v>
      </x:c>
      <x:c r="F47" s="12" t="str">
        <x:v>0.011654432087116362</x:v>
      </x:c>
      <x:c r="G47" s="12" t="str">
        <x:v>0.0054581450144532825</x:v>
      </x:c>
    </x:row>
    <x:row r="48">
      <x:c r="A48" s="10" t="str">
        <x:v>5</x:v>
      </x:c>
      <x:c r="B48" s="10" t="str">
        <x:v>R6</x:v>
      </x:c>
      <x:c r="C48" s="2" t="str">
        <x:v>T3_s</x:v>
      </x:c>
      <x:c r="D48" s="10" t="str">
        <x:v>缩短1%</x:v>
      </x:c>
      <x:c r="E48" s="12" t="str">
        <x:v>1.229052182864507</x:v>
      </x:c>
      <x:c r="F48" s="12" t="str">
        <x:v>0.001693071916525568</x:v>
      </x:c>
      <x:c r="G48" s="12" t="str">
        <x:v>0.0013775427440188808</x:v>
      </x:c>
    </x:row>
    <x:row r="49">
      <x:c r="A49" s="10" t="str">
        <x:v>5</x:v>
      </x:c>
      <x:c r="B49" s="10" t="str">
        <x:v>R6</x:v>
      </x:c>
      <x:c r="C49" s="2" t="str">
        <x:v>T4_s</x:v>
      </x:c>
      <x:c r="D49" s="10" t="str">
        <x:v>缩短1%</x:v>
      </x:c>
      <x:c r="E49" s="12" t="str">
        <x:v>1.2080845364969264</x:v>
      </x:c>
      <x:c r="F49" s="12" t="str">
        <x:v>0.0017513986532424752</x:v>
      </x:c>
      <x:c r="G49" s="12" t="str">
        <x:v>0.0014497318691960024</x:v>
      </x:c>
    </x:row>
    <x:row r="50">
      <x:c r="A50" s="10" t="str">
        <x:v>6</x:v>
      </x:c>
      <x:c r="B50" s="10" t="str">
        <x:v>R7</x:v>
      </x:c>
      <x:c r="C50" s="2" t="str">
        <x:v>U1_kV</x:v>
      </x:c>
      <x:c r="D50" s="10" t="str">
        <x:v>上限处反向差分</x:v>
      </x:c>
      <x:c r="E50" s="12" t="str">
        <x:v>8.497124287234328</x:v>
      </x:c>
      <x:c r="F50" s="12" t="str">
        <x:v>0.49535608218401883</x:v>
      </x:c>
      <x:c r="G50" s="12" t="str">
        <x:v>0.05829690909996668</x:v>
      </x:c>
    </x:row>
    <x:row r="51">
      <x:c r="A51" s="10" t="str">
        <x:v>6</x:v>
      </x:c>
      <x:c r="B51" s="10" t="str">
        <x:v>R7</x:v>
      </x:c>
      <x:c r="C51" s="2" t="str">
        <x:v>U2_kV</x:v>
      </x:c>
      <x:c r="D51" s="10" t="str">
        <x:v>提高1%</x:v>
      </x:c>
      <x:c r="E51" s="12" t="str">
        <x:v>7.701361339657069</x:v>
      </x:c>
      <x:c r="F51" s="12" t="str">
        <x:v>0.4444267810391356</x:v>
      </x:c>
      <x:c r="G51" s="12" t="str">
        <x:v>0.05770756122695125</x:v>
      </x:c>
    </x:row>
    <x:row r="52">
      <x:c r="A52" s="10" t="str">
        <x:v>6</x:v>
      </x:c>
      <x:c r="B52" s="10" t="str">
        <x:v>R7</x:v>
      </x:c>
      <x:c r="C52" s="2" t="str">
        <x:v>U3_kV</x:v>
      </x:c>
      <x:c r="D52" s="10" t="str">
        <x:v>提高1%</x:v>
      </x:c>
      <x:c r="E52" s="12" t="str">
        <x:v>5.782502393138202</x:v>
      </x:c>
      <x:c r="F52" s="12" t="str">
        <x:v>0.3390032375715233</x:v>
      </x:c>
      <x:c r="G52" s="12" t="str">
        <x:v>0.058625697755663876</x:v>
      </x:c>
    </x:row>
    <x:row r="53">
      <x:c r="A53" s="10" t="str">
        <x:v>6</x:v>
      </x:c>
      <x:c r="B53" s="10" t="str">
        <x:v>R7</x:v>
      </x:c>
      <x:c r="C53" s="2" t="str">
        <x:v>U4_kV</x:v>
      </x:c>
      <x:c r="D53" s="10" t="str">
        <x:v>提高1%</x:v>
      </x:c>
      <x:c r="E53" s="12" t="str">
        <x:v>5.672146333251931</x:v>
      </x:c>
      <x:c r="F53" s="12" t="str">
        <x:v>0.339083604448879</x:v>
      </x:c>
      <x:c r="G53" s="12" t="str">
        <x:v>0.05978047541916589</x:v>
      </x:c>
    </x:row>
    <x:row r="54">
      <x:c r="A54" s="10" t="str">
        <x:v>6</x:v>
      </x:c>
      <x:c r="B54" s="10" t="str">
        <x:v>R7</x:v>
      </x:c>
      <x:c r="C54" s="2" t="str">
        <x:v>T1_s</x:v>
      </x:c>
      <x:c r="D54" s="10" t="str">
        <x:v>缩短1%</x:v>
      </x:c>
      <x:c r="E54" s="12" t="str">
        <x:v>2.141526578031062</x:v>
      </x:c>
      <x:c r="F54" s="12" t="str">
        <x:v>0.015739395938707545</x:v>
      </x:c>
      <x:c r="G54" s="12" t="str">
        <x:v>0.007349615036381422</x:v>
      </x:c>
    </x:row>
    <x:row r="55">
      <x:c r="A55" s="10" t="str">
        <x:v>6</x:v>
      </x:c>
      <x:c r="B55" s="10" t="str">
        <x:v>R7</x:v>
      </x:c>
      <x:c r="C55" s="2" t="str">
        <x:v>T2_s</x:v>
      </x:c>
      <x:c r="D55" s="10" t="str">
        <x:v>缩短1%</x:v>
      </x:c>
      <x:c r="E55" s="12" t="str">
        <x:v>2.1342450193537843</x:v>
      </x:c>
      <x:c r="F55" s="12" t="str">
        <x:v>0.014014274100022206</x:v>
      </x:c>
      <x:c r="G55" s="12" t="str">
        <x:v>0.006566384821301121</x:v>
      </x:c>
    </x:row>
    <x:row r="56">
      <x:c r="A56" s="10" t="str">
        <x:v>6</x:v>
      </x:c>
      <x:c r="B56" s="10" t="str">
        <x:v>R7</x:v>
      </x:c>
      <x:c r="C56" s="2" t="str">
        <x:v>T3_s</x:v>
      </x:c>
      <x:c r="D56" s="10" t="str">
        <x:v>缩短1%</x:v>
      </x:c>
      <x:c r="E56" s="12" t="str">
        <x:v>1.2269305241620714</x:v>
      </x:c>
      <x:c r="F56" s="12" t="str">
        <x:v>0.0023084076710944146</x:v>
      </x:c>
      <x:c r="G56" s="12" t="str">
        <x:v>0.0018814493776417656</x:v>
      </x:c>
    </x:row>
    <x:row r="57">
      <x:c r="A57" s="10" t="str">
        <x:v>6</x:v>
      </x:c>
      <x:c r="B57" s="10" t="str">
        <x:v>R7</x:v>
      </x:c>
      <x:c r="C57" s="2" t="str">
        <x:v>T4_s</x:v>
      </x:c>
      <x:c r="D57" s="10" t="str">
        <x:v>缩短1%</x:v>
      </x:c>
      <x:c r="E57" s="12" t="str">
        <x:v>1.2062965376326247</x:v>
      </x:c>
      <x:c r="F57" s="12" t="str">
        <x:v>0.0014539093983803042</x:v>
      </x:c>
      <x:c r="G57" s="12" t="str">
        <x:v>0.0012052669911774957</x:v>
      </x:c>
    </x:row>
    <x:row r="58">
      <x:c r="A58" s="10" t="str">
        <x:v>7</x:v>
      </x:c>
      <x:c r="B58" s="10" t="str">
        <x:v>R8</x:v>
      </x:c>
      <x:c r="C58" s="2" t="str">
        <x:v>U1_kV</x:v>
      </x:c>
      <x:c r="D58" s="10" t="str">
        <x:v>上限处反向差分</x:v>
      </x:c>
      <x:c r="E58" s="12" t="str">
        <x:v>8.497124287244333</x:v>
      </x:c>
      <x:c r="F58" s="12" t="str">
        <x:v>0.49143397243322795</x:v>
      </x:c>
      <x:c r="G58" s="12" t="str">
        <x:v>0.057835328261698626</x:v>
      </x:c>
    </x:row>
    <x:row r="59">
      <x:c r="A59" s="10" t="str">
        <x:v>7</x:v>
      </x:c>
      <x:c r="B59" s="10" t="str">
        <x:v>R8</x:v>
      </x:c>
      <x:c r="C59" s="2" t="str">
        <x:v>U2_kV</x:v>
      </x:c>
      <x:c r="D59" s="10" t="str">
        <x:v>上限处反向差分</x:v>
      </x:c>
      <x:c r="E59" s="12" t="str">
        <x:v>8.649572792908657</x:v>
      </x:c>
      <x:c r="F59" s="12" t="str">
        <x:v>0.47627197565828716</x:v>
      </x:c>
      <x:c r="G59" s="12" t="str">
        <x:v>0.05506306346699091</x:v>
      </x:c>
    </x:row>
    <x:row r="60">
      <x:c r="A60" s="10" t="str">
        <x:v>7</x:v>
      </x:c>
      <x:c r="B60" s="10" t="str">
        <x:v>R8</x:v>
      </x:c>
      <x:c r="C60" s="2" t="str">
        <x:v>U3_kV</x:v>
      </x:c>
      <x:c r="D60" s="10" t="str">
        <x:v>提高1%</x:v>
      </x:c>
      <x:c r="E60" s="12" t="str">
        <x:v>5.730567286308087</x:v>
      </x:c>
      <x:c r="F60" s="12" t="str">
        <x:v>0.3101216940509772</x:v>
      </x:c>
      <x:c r="G60" s="12" t="str">
        <x:v>0.054117101947645546</x:v>
      </x:c>
    </x:row>
    <x:row r="61">
      <x:c r="A61" s="10" t="str">
        <x:v>7</x:v>
      </x:c>
      <x:c r="B61" s="10" t="str">
        <x:v>R8</x:v>
      </x:c>
      <x:c r="C61" s="2" t="str">
        <x:v>U4_kV</x:v>
      </x:c>
      <x:c r="D61" s="10" t="str">
        <x:v>提高1%</x:v>
      </x:c>
      <x:c r="E61" s="12" t="str">
        <x:v>5.121321097596592</x:v>
      </x:c>
      <x:c r="F61" s="12" t="str">
        <x:v>0.29879629238601524</x:v>
      </x:c>
      <x:c r="G61" s="12" t="str">
        <x:v>0.05834359664076496</x:v>
      </x:c>
    </x:row>
    <x:row r="62">
      <x:c r="A62" s="10" t="str">
        <x:v>7</x:v>
      </x:c>
      <x:c r="B62" s="10" t="str">
        <x:v>R8</x:v>
      </x:c>
      <x:c r="C62" s="2" t="str">
        <x:v>T1_s</x:v>
      </x:c>
      <x:c r="D62" s="10" t="str">
        <x:v>缩短1%</x:v>
      </x:c>
      <x:c r="E62" s="12" t="str">
        <x:v>2.1722940339564047</x:v>
      </x:c>
      <x:c r="F62" s="12" t="str">
        <x:v>0.010706192086622934</x:v>
      </x:c>
      <x:c r="G62" s="12" t="str">
        <x:v>0.004928518846559514</x:v>
      </x:c>
    </x:row>
    <x:row r="63">
      <x:c r="A63" s="10" t="str">
        <x:v>7</x:v>
      </x:c>
      <x:c r="B63" s="10" t="str">
        <x:v>R8</x:v>
      </x:c>
      <x:c r="C63" s="2" t="str">
        <x:v>T2_s</x:v>
      </x:c>
      <x:c r="D63" s="10" t="str">
        <x:v>缩短1%</x:v>
      </x:c>
      <x:c r="E63" s="12" t="str">
        <x:v>2.1754094830662325</x:v>
      </x:c>
      <x:c r="F63" s="12" t="str">
        <x:v>0.01045656128295569</x:v>
      </x:c>
      <x:c r="G63" s="12" t="str">
        <x:v>0.004806709433029225</x:v>
      </x:c>
    </x:row>
    <x:row r="64">
      <x:c r="A64" s="10" t="str">
        <x:v>7</x:v>
      </x:c>
      <x:c r="B64" s="10" t="str">
        <x:v>R8</x:v>
      </x:c>
      <x:c r="C64" s="2" t="str">
        <x:v>T3_s</x:v>
      </x:c>
      <x:c r="D64" s="10" t="str">
        <x:v>缩短1%</x:v>
      </x:c>
      <x:c r="E64" s="12" t="str">
        <x:v>1.2560189411447027</x:v>
      </x:c>
      <x:c r="F64" s="12" t="str">
        <x:v>0.0016860448526987426</x:v>
      </x:c>
      <x:c r="G64" s="12" t="str">
        <x:v>0.0013423721549629861</x:v>
      </x:c>
    </x:row>
    <x:row r="65">
      <x:c r="A65" s="10" t="str">
        <x:v>7</x:v>
      </x:c>
      <x:c r="B65" s="10" t="str">
        <x:v>R8</x:v>
      </x:c>
      <x:c r="C65" s="2" t="str">
        <x:v>T4_s</x:v>
      </x:c>
      <x:c r="D65" s="10" t="str">
        <x:v>缩短1%</x:v>
      </x:c>
      <x:c r="E65" s="12" t="str">
        <x:v>1.2404386503030764</x:v>
      </x:c>
      <x:c r="F65" s="12" t="str">
        <x:v>0.0016754631691906496</x:v>
      </x:c>
      <x:c r="G65" s="12" t="str">
        <x:v>0.0013507021639331245</x:v>
      </x:c>
    </x:row>
  </x:sheetData>
  <x:pageMargins left="0.7" right="0.7" top="0.75" bottom="0.75" header="0.3" footer="0.3"/>
  <x:tableParts count="1">
    <x:tablePart xmlns:r="http://schemas.openxmlformats.org/officeDocument/2006/relationships" r:id="R2f99850339bc48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20" t="str">
        <x:v>八类工况的单位新增功率减排收益</x:v>
      </x:c>
      <x:c r="B1" s="20"/>
      <x:c r="C1" s="20"/>
      <x:c r="D1" s="20"/>
      <x:c r="E1" s="20"/>
      <x:c r="F1" s="20"/>
      <x:c r="G1" s="20"/>
      <x:c r="H1" s="20"/>
      <x:c r="I1" s="20"/>
    </x:row>
    <x:row r="2" ht="32" customHeight="1">
      <x:c r="A2" s="26" t="str">
        <x:v>定义：95%排放分位数的下降量 ÷ 新增功率；单位为 mg·Nm⁻³·kW⁻¹。电压提高1%，振打周期缩短1%。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44" t="str">
        <x:v>工况</x:v>
      </x:c>
      <x:c r="B3" s="45" t="str">
        <x:v>U1_kV</x:v>
      </x:c>
      <x:c r="C3" s="45" t="str">
        <x:v>U2_kV</x:v>
      </x:c>
      <x:c r="D3" s="45" t="str">
        <x:v>U3_kV</x:v>
      </x:c>
      <x:c r="E3" s="45" t="str">
        <x:v>U4_kV</x:v>
      </x:c>
      <x:c r="F3" s="45" t="str">
        <x:v>T1_s</x:v>
      </x:c>
      <x:c r="G3" s="45" t="str">
        <x:v>T2_s</x:v>
      </x:c>
      <x:c r="H3" s="45" t="str">
        <x:v>T3_s</x:v>
      </x:c>
      <x:c r="I3" s="46" t="str">
        <x:v>T4_s</x:v>
      </x:c>
    </x:row>
    <x:row r="4">
      <x:c r="A4" s="47" t="str">
        <x:v>R1</x:v>
      </x:c>
      <x:c r="B4" s="48" t="n">
        <x:f>SUMIFS('明细数据'!$G$2:$G$65,'明细数据'!$B$2:$B$65,$A4,'明细数据'!$C$2:$C$65,B$3)</x:f>
        <x:v>0.05310057247921885</x:v>
      </x:c>
      <x:c r="C4" s="48" t="n">
        <x:f>SUMIFS('明细数据'!$G$2:$G$65,'明细数据'!$B$2:$B$65,$A4,'明细数据'!$C$2:$C$65,C$3)</x:f>
        <x:v>0.05243141123664163</x:v>
      </x:c>
      <x:c r="D4" s="48" t="n">
        <x:f>SUMIFS('明细数据'!$G$2:$G$65,'明细数据'!$B$2:$B$65,$A4,'明细数据'!$C$2:$C$65,D$3)</x:f>
        <x:v>0.050412485131543186</x:v>
      </x:c>
      <x:c r="E4" s="48" t="n">
        <x:f>SUMIFS('明细数据'!$G$2:$G$65,'明细数据'!$B$2:$B$65,$A4,'明细数据'!$C$2:$C$65,E$3)</x:f>
        <x:v>0.05259969636509456</x:v>
      </x:c>
      <x:c r="F4" s="48" t="n">
        <x:f>SUMIFS('明细数据'!$G$2:$G$65,'明细数据'!$B$2:$B$65,$A4,'明细数据'!$C$2:$C$65,F$3)</x:f>
        <x:v>0.008567420616273079</x:v>
      </x:c>
      <x:c r="G4" s="48" t="n">
        <x:f>SUMIFS('明细数据'!$G$2:$G$65,'明细数据'!$B$2:$B$65,$A4,'明细数据'!$C$2:$C$65,G$3)</x:f>
        <x:v>0.010928573264942867</x:v>
      </x:c>
      <x:c r="H4" s="48" t="n">
        <x:f>SUMIFS('明细数据'!$G$2:$G$65,'明细数据'!$B$2:$B$65,$A4,'明细数据'!$C$2:$C$65,H$3)</x:f>
        <x:v>0.0059696059374579925</x:v>
      </x:c>
      <x:c r="I4" s="49" t="n">
        <x:f>SUMIFS('明细数据'!$G$2:$G$65,'明细数据'!$B$2:$B$65,$A4,'明细数据'!$C$2:$C$65,I$3)</x:f>
        <x:v>0.006311522976486296</x:v>
      </x:c>
    </x:row>
    <x:row r="5">
      <x:c r="A5" s="47" t="str">
        <x:v>R2</x:v>
      </x:c>
      <x:c r="B5" s="48" t="n">
        <x:f>SUMIFS('明细数据'!$G$2:$G$65,'明细数据'!$B$2:$B$65,$A5,'明细数据'!$C$2:$C$65,B$3)</x:f>
        <x:v>0.058812164050989706</x:v>
      </x:c>
      <x:c r="C5" s="48" t="n">
        <x:f>SUMIFS('明细数据'!$G$2:$G$65,'明细数据'!$B$2:$B$65,$A5,'明细数据'!$C$2:$C$65,C$3)</x:f>
        <x:v>0.0568021737280317</x:v>
      </x:c>
      <x:c r="D5" s="48" t="n">
        <x:f>SUMIFS('明细数据'!$G$2:$G$65,'明细数据'!$B$2:$B$65,$A5,'明细数据'!$C$2:$C$65,D$3)</x:f>
        <x:v>0.06060741829018856</x:v>
      </x:c>
      <x:c r="E5" s="48" t="n">
        <x:f>SUMIFS('明细数据'!$G$2:$G$65,'明细数据'!$B$2:$B$65,$A5,'明细数据'!$C$2:$C$65,E$3)</x:f>
        <x:v>0.05729908423997987</x:v>
      </x:c>
      <x:c r="F5" s="48" t="n">
        <x:f>SUMIFS('明细数据'!$G$2:$G$65,'明细数据'!$B$2:$B$65,$A5,'明细数据'!$C$2:$C$65,F$3)</x:f>
        <x:v>0.013750736988035249</x:v>
      </x:c>
      <x:c r="G5" s="48" t="n">
        <x:f>SUMIFS('明细数据'!$G$2:$G$65,'明细数据'!$B$2:$B$65,$A5,'明细数据'!$C$2:$C$65,G$3)</x:f>
        <x:v>0.014169601407090986</x:v>
      </x:c>
      <x:c r="H5" s="48" t="n">
        <x:f>SUMIFS('明细数据'!$G$2:$G$65,'明细数据'!$B$2:$B$65,$A5,'明细数据'!$C$2:$C$65,H$3)</x:f>
        <x:v>0.010169374929129268</x:v>
      </x:c>
      <x:c r="I5" s="49" t="n">
        <x:f>SUMIFS('明细数据'!$G$2:$G$65,'明细数据'!$B$2:$B$65,$A5,'明细数据'!$C$2:$C$65,I$3)</x:f>
        <x:v>0.008261327144923922</x:v>
      </x:c>
    </x:row>
    <x:row r="6">
      <x:c r="A6" s="47" t="str">
        <x:v>R3</x:v>
      </x:c>
      <x:c r="B6" s="48" t="n">
        <x:f>SUMIFS('明细数据'!$G$2:$G$65,'明细数据'!$B$2:$B$65,$A6,'明细数据'!$C$2:$C$65,B$3)</x:f>
        <x:v>0.057026005340221904</x:v>
      </x:c>
      <x:c r="C6" s="48" t="n">
        <x:f>SUMIFS('明细数据'!$G$2:$G$65,'明细数据'!$B$2:$B$65,$A6,'明细数据'!$C$2:$C$65,C$3)</x:f>
        <x:v>0.05482955215651741</x:v>
      </x:c>
      <x:c r="D6" s="48" t="n">
        <x:f>SUMIFS('明细数据'!$G$2:$G$65,'明细数据'!$B$2:$B$65,$A6,'明细数据'!$C$2:$C$65,D$3)</x:f>
        <x:v>0.058685065951492664</x:v>
      </x:c>
      <x:c r="E6" s="48" t="n">
        <x:f>SUMIFS('明细数据'!$G$2:$G$65,'明细数据'!$B$2:$B$65,$A6,'明细数据'!$C$2:$C$65,E$3)</x:f>
        <x:v>0.05428482261829689</x:v>
      </x:c>
      <x:c r="F6" s="48" t="n">
        <x:f>SUMIFS('明细数据'!$G$2:$G$65,'明细数据'!$B$2:$B$65,$A6,'明细数据'!$C$2:$C$65,F$3)</x:f>
        <x:v>0.01624712177604896</x:v>
      </x:c>
      <x:c r="G6" s="48" t="n">
        <x:f>SUMIFS('明细数据'!$G$2:$G$65,'明细数据'!$B$2:$B$65,$A6,'明细数据'!$C$2:$C$65,G$3)</x:f>
        <x:v>0.014962388506163864</x:v>
      </x:c>
      <x:c r="H6" s="48" t="n">
        <x:f>SUMIFS('明细数据'!$G$2:$G$65,'明细数据'!$B$2:$B$65,$A6,'明细数据'!$C$2:$C$65,H$3)</x:f>
        <x:v>0.007049989242593818</x:v>
      </x:c>
      <x:c r="I6" s="49" t="n">
        <x:f>SUMIFS('明细数据'!$G$2:$G$65,'明细数据'!$B$2:$B$65,$A6,'明细数据'!$C$2:$C$65,I$3)</x:f>
        <x:v>0.013632636904226761</x:v>
      </x:c>
    </x:row>
    <x:row r="7">
      <x:c r="A7" s="47" t="str">
        <x:v>R4</x:v>
      </x:c>
      <x:c r="B7" s="48" t="n">
        <x:f>SUMIFS('明细数据'!$G$2:$G$65,'明细数据'!$B$2:$B$65,$A7,'明细数据'!$C$2:$C$65,B$3)</x:f>
        <x:v>0.05380926660644452</x:v>
      </x:c>
      <x:c r="C7" s="48" t="n">
        <x:f>SUMIFS('明细数据'!$G$2:$G$65,'明细数据'!$B$2:$B$65,$A7,'明细数据'!$C$2:$C$65,C$3)</x:f>
        <x:v>0.05836993938056685</x:v>
      </x:c>
      <x:c r="D7" s="48" t="n">
        <x:f>SUMIFS('明细数据'!$G$2:$G$65,'明细数据'!$B$2:$B$65,$A7,'明细数据'!$C$2:$C$65,D$3)</x:f>
        <x:v>0.05889393549669387</x:v>
      </x:c>
      <x:c r="E7" s="48" t="n">
        <x:f>SUMIFS('明细数据'!$G$2:$G$65,'明细数据'!$B$2:$B$65,$A7,'明细数据'!$C$2:$C$65,E$3)</x:f>
        <x:v>0.05675536179811505</x:v>
      </x:c>
      <x:c r="F7" s="48" t="n">
        <x:f>SUMIFS('明细数据'!$G$2:$G$65,'明细数据'!$B$2:$B$65,$A7,'明细数据'!$C$2:$C$65,F$3)</x:f>
        <x:v>0.011224212638208764</x:v>
      </x:c>
      <x:c r="G7" s="48" t="n">
        <x:f>SUMIFS('明细数据'!$G$2:$G$65,'明细数据'!$B$2:$B$65,$A7,'明细数据'!$C$2:$C$65,G$3)</x:f>
        <x:v>0.01462792814406412</x:v>
      </x:c>
      <x:c r="H7" s="48" t="n">
        <x:f>SUMIFS('明细数据'!$G$2:$G$65,'明细数据'!$B$2:$B$65,$A7,'明细数据'!$C$2:$C$65,H$3)</x:f>
        <x:v>0.011174080682847152</x:v>
      </x:c>
      <x:c r="I7" s="49" t="n">
        <x:f>SUMIFS('明细数据'!$G$2:$G$65,'明细数据'!$B$2:$B$65,$A7,'明细数据'!$C$2:$C$65,I$3)</x:f>
        <x:v>0.01117890049981822</x:v>
      </x:c>
    </x:row>
    <x:row r="8">
      <x:c r="A8" s="47" t="str">
        <x:v>R5</x:v>
      </x:c>
      <x:c r="B8" s="48" t="n">
        <x:f>SUMIFS('明细数据'!$G$2:$G$65,'明细数据'!$B$2:$B$65,$A8,'明细数据'!$C$2:$C$65,B$3)</x:f>
        <x:v>0.05946398176198604</x:v>
      </x:c>
      <x:c r="C8" s="48" t="n">
        <x:f>SUMIFS('明细数据'!$G$2:$G$65,'明细数据'!$B$2:$B$65,$A8,'明细数据'!$C$2:$C$65,C$3)</x:f>
        <x:v>0.058970721597126796</x:v>
      </x:c>
      <x:c r="D8" s="48" t="n">
        <x:f>SUMIFS('明细数据'!$G$2:$G$65,'明细数据'!$B$2:$B$65,$A8,'明细数据'!$C$2:$C$65,D$3)</x:f>
        <x:v>0.056956303241141024</x:v>
      </x:c>
      <x:c r="E8" s="48" t="n">
        <x:f>SUMIFS('明细数据'!$G$2:$G$65,'明细数据'!$B$2:$B$65,$A8,'明细数据'!$C$2:$C$65,E$3)</x:f>
        <x:v>0.056788555832777504</x:v>
      </x:c>
      <x:c r="F8" s="48" t="n">
        <x:f>SUMIFS('明细数据'!$G$2:$G$65,'明细数据'!$B$2:$B$65,$A8,'明细数据'!$C$2:$C$65,F$3)</x:f>
        <x:v>0.006420332126160383</x:v>
      </x:c>
      <x:c r="G8" s="48" t="n">
        <x:f>SUMIFS('明细数据'!$G$2:$G$65,'明细数据'!$B$2:$B$65,$A8,'明细数据'!$C$2:$C$65,G$3)</x:f>
        <x:v>0.006053999444631306</x:v>
      </x:c>
      <x:c r="H8" s="48" t="n">
        <x:f>SUMIFS('明细数据'!$G$2:$G$65,'明细数据'!$B$2:$B$65,$A8,'明细数据'!$C$2:$C$65,H$3)</x:f>
        <x:v>0.00290221932364118</x:v>
      </x:c>
      <x:c r="I8" s="49" t="n">
        <x:f>SUMIFS('明细数据'!$G$2:$G$65,'明细数据'!$B$2:$B$65,$A8,'明细数据'!$C$2:$C$65,I$3)</x:f>
        <x:v>0.002240952698950989</x:v>
      </x:c>
    </x:row>
    <x:row r="9">
      <x:c r="A9" s="47" t="str">
        <x:v>R6</x:v>
      </x:c>
      <x:c r="B9" s="48" t="n">
        <x:f>SUMIFS('明细数据'!$G$2:$G$65,'明细数据'!$B$2:$B$65,$A9,'明细数据'!$C$2:$C$65,B$3)</x:f>
        <x:v>0.05665240081819486</x:v>
      </x:c>
      <x:c r="C9" s="48" t="n">
        <x:f>SUMIFS('明细数据'!$G$2:$G$65,'明细数据'!$B$2:$B$65,$A9,'明细数据'!$C$2:$C$65,C$3)</x:f>
        <x:v>0.05585347142654406</x:v>
      </x:c>
      <x:c r="D9" s="48" t="n">
        <x:f>SUMIFS('明细数据'!$G$2:$G$65,'明细数据'!$B$2:$B$65,$A9,'明细数据'!$C$2:$C$65,D$3)</x:f>
        <x:v>0.05604841587231655</x:v>
      </x:c>
      <x:c r="E9" s="48" t="n">
        <x:f>SUMIFS('明细数据'!$G$2:$G$65,'明细数据'!$B$2:$B$65,$A9,'明细数据'!$C$2:$C$65,E$3)</x:f>
        <x:v>0.0537078723084856</x:v>
      </x:c>
      <x:c r="F9" s="48" t="n">
        <x:f>SUMIFS('明细数据'!$G$2:$G$65,'明细数据'!$B$2:$B$65,$A9,'明细数据'!$C$2:$C$65,F$3)</x:f>
        <x:v>0.006076307613803509</x:v>
      </x:c>
      <x:c r="G9" s="48" t="n">
        <x:f>SUMIFS('明细数据'!$G$2:$G$65,'明细数据'!$B$2:$B$65,$A9,'明细数据'!$C$2:$C$65,G$3)</x:f>
        <x:v>0.0054581450144532825</x:v>
      </x:c>
      <x:c r="H9" s="48" t="n">
        <x:f>SUMIFS('明细数据'!$G$2:$G$65,'明细数据'!$B$2:$B$65,$A9,'明细数据'!$C$2:$C$65,H$3)</x:f>
        <x:v>0.0013775427440188808</x:v>
      </x:c>
      <x:c r="I9" s="49" t="n">
        <x:f>SUMIFS('明细数据'!$G$2:$G$65,'明细数据'!$B$2:$B$65,$A9,'明细数据'!$C$2:$C$65,I$3)</x:f>
        <x:v>0.0014497318691960024</x:v>
      </x:c>
    </x:row>
    <x:row r="10">
      <x:c r="A10" s="47" t="str">
        <x:v>R7</x:v>
      </x:c>
      <x:c r="B10" s="48" t="n">
        <x:f>SUMIFS('明细数据'!$G$2:$G$65,'明细数据'!$B$2:$B$65,$A10,'明细数据'!$C$2:$C$65,B$3)</x:f>
        <x:v>0.05829690909996668</x:v>
      </x:c>
      <x:c r="C10" s="48" t="n">
        <x:f>SUMIFS('明细数据'!$G$2:$G$65,'明细数据'!$B$2:$B$65,$A10,'明细数据'!$C$2:$C$65,C$3)</x:f>
        <x:v>0.05770756122695125</x:v>
      </x:c>
      <x:c r="D10" s="48" t="n">
        <x:f>SUMIFS('明细数据'!$G$2:$G$65,'明细数据'!$B$2:$B$65,$A10,'明细数据'!$C$2:$C$65,D$3)</x:f>
        <x:v>0.058625697755663876</x:v>
      </x:c>
      <x:c r="E10" s="48" t="n">
        <x:f>SUMIFS('明细数据'!$G$2:$G$65,'明细数据'!$B$2:$B$65,$A10,'明细数据'!$C$2:$C$65,E$3)</x:f>
        <x:v>0.05978047541916589</x:v>
      </x:c>
      <x:c r="F10" s="48" t="n">
        <x:f>SUMIFS('明细数据'!$G$2:$G$65,'明细数据'!$B$2:$B$65,$A10,'明细数据'!$C$2:$C$65,F$3)</x:f>
        <x:v>0.007349615036381422</x:v>
      </x:c>
      <x:c r="G10" s="48" t="n">
        <x:f>SUMIFS('明细数据'!$G$2:$G$65,'明细数据'!$B$2:$B$65,$A10,'明细数据'!$C$2:$C$65,G$3)</x:f>
        <x:v>0.006566384821301121</x:v>
      </x:c>
      <x:c r="H10" s="48" t="n">
        <x:f>SUMIFS('明细数据'!$G$2:$G$65,'明细数据'!$B$2:$B$65,$A10,'明细数据'!$C$2:$C$65,H$3)</x:f>
        <x:v>0.0018814493776417656</x:v>
      </x:c>
      <x:c r="I10" s="49" t="n">
        <x:f>SUMIFS('明细数据'!$G$2:$G$65,'明细数据'!$B$2:$B$65,$A10,'明细数据'!$C$2:$C$65,I$3)</x:f>
        <x:v>0.0012052669911774957</x:v>
      </x:c>
    </x:row>
    <x:row r="11">
      <x:c r="A11" s="50" t="str">
        <x:v>R8</x:v>
      </x:c>
      <x:c r="B11" s="51" t="n">
        <x:f>SUMIFS('明细数据'!$G$2:$G$65,'明细数据'!$B$2:$B$65,$A11,'明细数据'!$C$2:$C$65,B$3)</x:f>
        <x:v>0.057835328261698626</x:v>
      </x:c>
      <x:c r="C11" s="51" t="n">
        <x:f>SUMIFS('明细数据'!$G$2:$G$65,'明细数据'!$B$2:$B$65,$A11,'明细数据'!$C$2:$C$65,C$3)</x:f>
        <x:v>0.05506306346699091</x:v>
      </x:c>
      <x:c r="D11" s="51" t="n">
        <x:f>SUMIFS('明细数据'!$G$2:$G$65,'明细数据'!$B$2:$B$65,$A11,'明细数据'!$C$2:$C$65,D$3)</x:f>
        <x:v>0.054117101947645546</x:v>
      </x:c>
      <x:c r="E11" s="51" t="n">
        <x:f>SUMIFS('明细数据'!$G$2:$G$65,'明细数据'!$B$2:$B$65,$A11,'明细数据'!$C$2:$C$65,E$3)</x:f>
        <x:v>0.05834359664076496</x:v>
      </x:c>
      <x:c r="F11" s="51" t="n">
        <x:f>SUMIFS('明细数据'!$G$2:$G$65,'明细数据'!$B$2:$B$65,$A11,'明细数据'!$C$2:$C$65,F$3)</x:f>
        <x:v>0.004928518846559514</x:v>
      </x:c>
      <x:c r="G11" s="51" t="n">
        <x:f>SUMIFS('明细数据'!$G$2:$G$65,'明细数据'!$B$2:$B$65,$A11,'明细数据'!$C$2:$C$65,G$3)</x:f>
        <x:v>0.004806709433029225</x:v>
      </x:c>
      <x:c r="H11" s="51" t="n">
        <x:f>SUMIFS('明细数据'!$G$2:$G$65,'明细数据'!$B$2:$B$65,$A11,'明细数据'!$C$2:$C$65,H$3)</x:f>
        <x:v>0.0013423721549629861</x:v>
      </x:c>
      <x:c r="I11" s="52" t="n">
        <x:f>SUMIFS('明细数据'!$G$2:$G$65,'明细数据'!$B$2:$B$65,$A11,'明细数据'!$C$2:$C$65,I$3)</x:f>
        <x:v>0.0013507021639331245</x:v>
      </x:c>
    </x:row>
    <x:row r="13">
      <x:c r="A13" s="64" t="str">
        <x:v>工况</x:v>
      </x:c>
      <x:c r="B13" s="64" t="str">
        <x:v>综合最优变量</x:v>
      </x:c>
      <x:c r="C13" s="64" t="str">
        <x:v>综合最高收益</x:v>
      </x:c>
      <x:c r="D13" s="64" t="str">
        <x:v>最优电压变量</x:v>
      </x:c>
      <x:c r="E13" s="64" t="str">
        <x:v>最高电压收益</x:v>
      </x:c>
      <x:c r="F13" s="64" t="str">
        <x:v>最优周期变量</x:v>
      </x:c>
      <x:c r="G13" s="64" t="str">
        <x:v>最高周期收益</x:v>
      </x:c>
    </x:row>
    <x:row r="14">
      <x:c r="A14" s="10" t="str">
        <x:v>R1</x:v>
      </x:c>
      <x:c r="B14" s="10" t="str">
        <x:f>INDEX($B$3:$I$3,1,MATCH(MAX(B4:I4),B4:I4,0))</x:f>
        <x:v>U1_kV</x:v>
      </x:c>
      <x:c r="C14" s="40" t="n">
        <x:f>MAX(B4:I4)</x:f>
        <x:v>0.05310057247921885</x:v>
      </x:c>
      <x:c r="D14" s="10" t="str">
        <x:f>INDEX($B$3:$E$3,1,MATCH(MAX(B4:E4),B4:E4,0))</x:f>
        <x:v>U1_kV</x:v>
      </x:c>
      <x:c r="E14" s="40" t="n">
        <x:f>MAX(B4:E4)</x:f>
        <x:v>0.05310057247921885</x:v>
      </x:c>
      <x:c r="F14" s="10" t="str">
        <x:f>INDEX($F$3:$I$3,1,MATCH(MAX(F4:I4),F4:I4,0))</x:f>
        <x:v>T2_s</x:v>
      </x:c>
      <x:c r="G14" s="40" t="n">
        <x:f>MAX(F4:I4)</x:f>
        <x:v>0.010928573264942867</x:v>
      </x:c>
    </x:row>
    <x:row r="15">
      <x:c r="A15" s="10" t="str">
        <x:v>R2</x:v>
      </x:c>
      <x:c r="B15" s="10" t="str">
        <x:f>INDEX($B$3:$I$3,1,MATCH(MAX(B5:I5),B5:I5,0))</x:f>
        <x:v>U3_kV</x:v>
      </x:c>
      <x:c r="C15" s="40" t="n">
        <x:f>MAX(B5:I5)</x:f>
        <x:v>0.06060741829018856</x:v>
      </x:c>
      <x:c r="D15" s="10" t="str">
        <x:f>INDEX($B$3:$E$3,1,MATCH(MAX(B5:E5),B5:E5,0))</x:f>
        <x:v>U3_kV</x:v>
      </x:c>
      <x:c r="E15" s="40" t="n">
        <x:f>MAX(B5:E5)</x:f>
        <x:v>0.06060741829018856</x:v>
      </x:c>
      <x:c r="F15" s="10" t="str">
        <x:f>INDEX($F$3:$I$3,1,MATCH(MAX(F5:I5),F5:I5,0))</x:f>
        <x:v>T2_s</x:v>
      </x:c>
      <x:c r="G15" s="40" t="n">
        <x:f>MAX(F5:I5)</x:f>
        <x:v>0.014169601407090986</x:v>
      </x:c>
    </x:row>
    <x:row r="16">
      <x:c r="A16" s="10" t="str">
        <x:v>R3</x:v>
      </x:c>
      <x:c r="B16" s="10" t="str">
        <x:f>INDEX($B$3:$I$3,1,MATCH(MAX(B6:I6),B6:I6,0))</x:f>
        <x:v>U3_kV</x:v>
      </x:c>
      <x:c r="C16" s="40" t="n">
        <x:f>MAX(B6:I6)</x:f>
        <x:v>0.058685065951492664</x:v>
      </x:c>
      <x:c r="D16" s="10" t="str">
        <x:f>INDEX($B$3:$E$3,1,MATCH(MAX(B6:E6),B6:E6,0))</x:f>
        <x:v>U3_kV</x:v>
      </x:c>
      <x:c r="E16" s="40" t="n">
        <x:f>MAX(B6:E6)</x:f>
        <x:v>0.058685065951492664</x:v>
      </x:c>
      <x:c r="F16" s="10" t="str">
        <x:f>INDEX($F$3:$I$3,1,MATCH(MAX(F6:I6),F6:I6,0))</x:f>
        <x:v>T1_s</x:v>
      </x:c>
      <x:c r="G16" s="40" t="n">
        <x:f>MAX(F6:I6)</x:f>
        <x:v>0.01624712177604896</x:v>
      </x:c>
    </x:row>
    <x:row r="17">
      <x:c r="A17" s="10" t="str">
        <x:v>R4</x:v>
      </x:c>
      <x:c r="B17" s="10" t="str">
        <x:f>INDEX($B$3:$I$3,1,MATCH(MAX(B7:I7),B7:I7,0))</x:f>
        <x:v>U3_kV</x:v>
      </x:c>
      <x:c r="C17" s="40" t="n">
        <x:f>MAX(B7:I7)</x:f>
        <x:v>0.05889393549669387</x:v>
      </x:c>
      <x:c r="D17" s="10" t="str">
        <x:f>INDEX($B$3:$E$3,1,MATCH(MAX(B7:E7),B7:E7,0))</x:f>
        <x:v>U3_kV</x:v>
      </x:c>
      <x:c r="E17" s="40" t="n">
        <x:f>MAX(B7:E7)</x:f>
        <x:v>0.05889393549669387</x:v>
      </x:c>
      <x:c r="F17" s="10" t="str">
        <x:f>INDEX($F$3:$I$3,1,MATCH(MAX(F7:I7),F7:I7,0))</x:f>
        <x:v>T2_s</x:v>
      </x:c>
      <x:c r="G17" s="40" t="n">
        <x:f>MAX(F7:I7)</x:f>
        <x:v>0.01462792814406412</x:v>
      </x:c>
    </x:row>
    <x:row r="18">
      <x:c r="A18" s="10" t="str">
        <x:v>R5</x:v>
      </x:c>
      <x:c r="B18" s="10" t="str">
        <x:f>INDEX($B$3:$I$3,1,MATCH(MAX(B8:I8),B8:I8,0))</x:f>
        <x:v>U1_kV</x:v>
      </x:c>
      <x:c r="C18" s="40" t="n">
        <x:f>MAX(B8:I8)</x:f>
        <x:v>0.05946398176198604</x:v>
      </x:c>
      <x:c r="D18" s="10" t="str">
        <x:f>INDEX($B$3:$E$3,1,MATCH(MAX(B8:E8),B8:E8,0))</x:f>
        <x:v>U1_kV</x:v>
      </x:c>
      <x:c r="E18" s="40" t="n">
        <x:f>MAX(B8:E8)</x:f>
        <x:v>0.05946398176198604</x:v>
      </x:c>
      <x:c r="F18" s="10" t="str">
        <x:f>INDEX($F$3:$I$3,1,MATCH(MAX(F8:I8),F8:I8,0))</x:f>
        <x:v>T1_s</x:v>
      </x:c>
      <x:c r="G18" s="40" t="n">
        <x:f>MAX(F8:I8)</x:f>
        <x:v>0.006420332126160383</x:v>
      </x:c>
    </x:row>
    <x:row r="19">
      <x:c r="A19" s="10" t="str">
        <x:v>R6</x:v>
      </x:c>
      <x:c r="B19" s="10" t="str">
        <x:f>INDEX($B$3:$I$3,1,MATCH(MAX(B9:I9),B9:I9,0))</x:f>
        <x:v>U1_kV</x:v>
      </x:c>
      <x:c r="C19" s="40" t="n">
        <x:f>MAX(B9:I9)</x:f>
        <x:v>0.05665240081819486</x:v>
      </x:c>
      <x:c r="D19" s="10" t="str">
        <x:f>INDEX($B$3:$E$3,1,MATCH(MAX(B9:E9),B9:E9,0))</x:f>
        <x:v>U1_kV</x:v>
      </x:c>
      <x:c r="E19" s="40" t="n">
        <x:f>MAX(B9:E9)</x:f>
        <x:v>0.05665240081819486</x:v>
      </x:c>
      <x:c r="F19" s="10" t="str">
        <x:f>INDEX($F$3:$I$3,1,MATCH(MAX(F9:I9),F9:I9,0))</x:f>
        <x:v>T1_s</x:v>
      </x:c>
      <x:c r="G19" s="40" t="n">
        <x:f>MAX(F9:I9)</x:f>
        <x:v>0.006076307613803509</x:v>
      </x:c>
    </x:row>
    <x:row r="20">
      <x:c r="A20" s="10" t="str">
        <x:v>R7</x:v>
      </x:c>
      <x:c r="B20" s="10" t="str">
        <x:f>INDEX($B$3:$I$3,1,MATCH(MAX(B10:I10),B10:I10,0))</x:f>
        <x:v>U4_kV</x:v>
      </x:c>
      <x:c r="C20" s="40" t="n">
        <x:f>MAX(B10:I10)</x:f>
        <x:v>0.05978047541916589</x:v>
      </x:c>
      <x:c r="D20" s="10" t="str">
        <x:f>INDEX($B$3:$E$3,1,MATCH(MAX(B10:E10),B10:E10,0))</x:f>
        <x:v>U4_kV</x:v>
      </x:c>
      <x:c r="E20" s="40" t="n">
        <x:f>MAX(B10:E10)</x:f>
        <x:v>0.05978047541916589</x:v>
      </x:c>
      <x:c r="F20" s="10" t="str">
        <x:f>INDEX($F$3:$I$3,1,MATCH(MAX(F10:I10),F10:I10,0))</x:f>
        <x:v>T1_s</x:v>
      </x:c>
      <x:c r="G20" s="40" t="n">
        <x:f>MAX(F10:I10)</x:f>
        <x:v>0.007349615036381422</x:v>
      </x:c>
    </x:row>
    <x:row r="21">
      <x:c r="A21" s="10" t="str">
        <x:v>R8</x:v>
      </x:c>
      <x:c r="B21" s="10" t="str">
        <x:f>INDEX($B$3:$I$3,1,MATCH(MAX(B11:I11),B11:I11,0))</x:f>
        <x:v>U4_kV</x:v>
      </x:c>
      <x:c r="C21" s="40" t="n">
        <x:f>MAX(B11:I11)</x:f>
        <x:v>0.05834359664076496</x:v>
      </x:c>
      <x:c r="D21" s="10" t="str">
        <x:f>INDEX($B$3:$E$3,1,MATCH(MAX(B11:E11),B11:E11,0))</x:f>
        <x:v>U4_kV</x:v>
      </x:c>
      <x:c r="E21" s="40" t="n">
        <x:f>MAX(B11:E11)</x:f>
        <x:v>0.05834359664076496</x:v>
      </x:c>
      <x:c r="F21" s="10" t="str">
        <x:f>INDEX($F$3:$I$3,1,MATCH(MAX(F11:I11),F11:I11,0))</x:f>
        <x:v>T1_s</x:v>
      </x:c>
      <x:c r="G21" s="40" t="n">
        <x:f>MAX(F11:I11)</x:f>
        <x:v>0.004928518846559514</x:v>
      </x:c>
    </x:row>
  </x:sheetData>
  <x:mergeCells>
    <x:mergeCell ref="A1:I1"/>
    <x:mergeCell ref="A2:I2"/>
  </x:mergeCells>
  <x:conditionalFormatting sqref="B4:E11">
    <x:cfRule type="colorScale" priority="1">
      <x:colorScale>
        <x:cfvo type="min"/>
        <x:cfvo type="percentile" val="50"/>
        <x:cfvo type="max"/>
        <x:color rgb="FFFFF7BC"/>
        <x:color rgb="FF7FCDBB"/>
        <x:color rgb="FF253494"/>
      </x:colorScale>
    </x:cfRule>
  </x:conditionalFormatting>
  <x:conditionalFormatting sqref="F4:I11">
    <x:cfRule type="colorScale" priority="2">
      <x:colorScale>
        <x:cfvo type="min"/>
        <x:cfvo type="percentile" val="50"/>
        <x:cfvo type="max"/>
        <x:color rgb="FFFFF7BC"/>
        <x:color rgb="FFFEC44F"/>
        <x:color rgb="FF993404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0" customHeight="1">
      <x:c r="A1" s="18" t="str">
        <x:v>八类工况控制变量收益对比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3">
      <x:c r="A3" s="70" t="str">
        <x:v>工况</x:v>
      </x:c>
      <x:c r="B3" s="70" t="str">
        <x:v>U1</x:v>
      </x:c>
      <x:c r="C3" s="70" t="str">
        <x:v>U2</x:v>
      </x:c>
      <x:c r="D3" s="70" t="str">
        <x:v>U3</x:v>
      </x:c>
      <x:c r="E3" s="70" t="str">
        <x:v>U4</x:v>
      </x:c>
      <x:c r="G3" s="72" t="str">
        <x:v>工况</x:v>
      </x:c>
      <x:c r="H3" s="72" t="str">
        <x:v>T1</x:v>
      </x:c>
      <x:c r="I3" s="72" t="str">
        <x:v>T2</x:v>
      </x:c>
      <x:c r="J3" s="72" t="str">
        <x:v>T3</x:v>
      </x:c>
      <x:c r="K3" s="72" t="str">
        <x:v>T4</x:v>
      </x:c>
    </x:row>
    <x:row r="4">
      <x:c r="A4" s="66" t="str">
        <x:f>'收益矩阵'!A4</x:f>
        <x:v>R1</x:v>
      </x:c>
      <x:c r="B4" s="66" t="n">
        <x:f>'收益矩阵'!B4</x:f>
        <x:v>0.05310057247921885</x:v>
      </x:c>
      <x:c r="C4" s="66" t="n">
        <x:f>'收益矩阵'!C4</x:f>
        <x:v>0.05243141123664163</x:v>
      </x:c>
      <x:c r="D4" s="66" t="n">
        <x:f>'收益矩阵'!D4</x:f>
        <x:v>0.050412485131543186</x:v>
      </x:c>
      <x:c r="E4" s="66" t="n">
        <x:f>'收益矩阵'!E4</x:f>
        <x:v>0.05259969636509456</x:v>
      </x:c>
      <x:c r="G4" s="66" t="str">
        <x:f>'收益矩阵'!A4</x:f>
        <x:v>R1</x:v>
      </x:c>
      <x:c r="H4" s="66" t="n">
        <x:f>'收益矩阵'!F4</x:f>
        <x:v>0.008567420616273079</x:v>
      </x:c>
      <x:c r="I4" s="66" t="n">
        <x:f>'收益矩阵'!G4</x:f>
        <x:v>0.010928573264942867</x:v>
      </x:c>
      <x:c r="J4" s="66" t="n">
        <x:f>'收益矩阵'!H4</x:f>
        <x:v>0.0059696059374579925</x:v>
      </x:c>
      <x:c r="K4" s="66" t="n">
        <x:f>'收益矩阵'!I4</x:f>
        <x:v>0.006311522976486296</x:v>
      </x:c>
    </x:row>
    <x:row r="5">
      <x:c r="A5" s="66" t="str">
        <x:f>'收益矩阵'!A5</x:f>
        <x:v>R2</x:v>
      </x:c>
      <x:c r="B5" s="66" t="n">
        <x:f>'收益矩阵'!B5</x:f>
        <x:v>0.058812164050989706</x:v>
      </x:c>
      <x:c r="C5" s="66" t="n">
        <x:f>'收益矩阵'!C5</x:f>
        <x:v>0.0568021737280317</x:v>
      </x:c>
      <x:c r="D5" s="66" t="n">
        <x:f>'收益矩阵'!D5</x:f>
        <x:v>0.06060741829018856</x:v>
      </x:c>
      <x:c r="E5" s="66" t="n">
        <x:f>'收益矩阵'!E5</x:f>
        <x:v>0.05729908423997987</x:v>
      </x:c>
      <x:c r="G5" s="66" t="str">
        <x:f>'收益矩阵'!A5</x:f>
        <x:v>R2</x:v>
      </x:c>
      <x:c r="H5" s="66" t="n">
        <x:f>'收益矩阵'!F5</x:f>
        <x:v>0.013750736988035249</x:v>
      </x:c>
      <x:c r="I5" s="66" t="n">
        <x:f>'收益矩阵'!G5</x:f>
        <x:v>0.014169601407090986</x:v>
      </x:c>
      <x:c r="J5" s="66" t="n">
        <x:f>'收益矩阵'!H5</x:f>
        <x:v>0.010169374929129268</x:v>
      </x:c>
      <x:c r="K5" s="66" t="n">
        <x:f>'收益矩阵'!I5</x:f>
        <x:v>0.008261327144923922</x:v>
      </x:c>
    </x:row>
    <x:row r="6">
      <x:c r="A6" s="66" t="str">
        <x:f>'收益矩阵'!A6</x:f>
        <x:v>R3</x:v>
      </x:c>
      <x:c r="B6" s="66" t="n">
        <x:f>'收益矩阵'!B6</x:f>
        <x:v>0.057026005340221904</x:v>
      </x:c>
      <x:c r="C6" s="66" t="n">
        <x:f>'收益矩阵'!C6</x:f>
        <x:v>0.05482955215651741</x:v>
      </x:c>
      <x:c r="D6" s="66" t="n">
        <x:f>'收益矩阵'!D6</x:f>
        <x:v>0.058685065951492664</x:v>
      </x:c>
      <x:c r="E6" s="66" t="n">
        <x:f>'收益矩阵'!E6</x:f>
        <x:v>0.05428482261829689</x:v>
      </x:c>
      <x:c r="G6" s="66" t="str">
        <x:f>'收益矩阵'!A6</x:f>
        <x:v>R3</x:v>
      </x:c>
      <x:c r="H6" s="66" t="n">
        <x:f>'收益矩阵'!F6</x:f>
        <x:v>0.01624712177604896</x:v>
      </x:c>
      <x:c r="I6" s="66" t="n">
        <x:f>'收益矩阵'!G6</x:f>
        <x:v>0.014962388506163864</x:v>
      </x:c>
      <x:c r="J6" s="66" t="n">
        <x:f>'收益矩阵'!H6</x:f>
        <x:v>0.007049989242593818</x:v>
      </x:c>
      <x:c r="K6" s="66" t="n">
        <x:f>'收益矩阵'!I6</x:f>
        <x:v>0.013632636904226761</x:v>
      </x:c>
    </x:row>
    <x:row r="7">
      <x:c r="A7" s="66" t="str">
        <x:f>'收益矩阵'!A7</x:f>
        <x:v>R4</x:v>
      </x:c>
      <x:c r="B7" s="66" t="n">
        <x:f>'收益矩阵'!B7</x:f>
        <x:v>0.05380926660644452</x:v>
      </x:c>
      <x:c r="C7" s="66" t="n">
        <x:f>'收益矩阵'!C7</x:f>
        <x:v>0.05836993938056685</x:v>
      </x:c>
      <x:c r="D7" s="66" t="n">
        <x:f>'收益矩阵'!D7</x:f>
        <x:v>0.05889393549669387</x:v>
      </x:c>
      <x:c r="E7" s="66" t="n">
        <x:f>'收益矩阵'!E7</x:f>
        <x:v>0.05675536179811505</x:v>
      </x:c>
      <x:c r="G7" s="66" t="str">
        <x:f>'收益矩阵'!A7</x:f>
        <x:v>R4</x:v>
      </x:c>
      <x:c r="H7" s="66" t="n">
        <x:f>'收益矩阵'!F7</x:f>
        <x:v>0.011224212638208764</x:v>
      </x:c>
      <x:c r="I7" s="66" t="n">
        <x:f>'收益矩阵'!G7</x:f>
        <x:v>0.01462792814406412</x:v>
      </x:c>
      <x:c r="J7" s="66" t="n">
        <x:f>'收益矩阵'!H7</x:f>
        <x:v>0.011174080682847152</x:v>
      </x:c>
      <x:c r="K7" s="66" t="n">
        <x:f>'收益矩阵'!I7</x:f>
        <x:v>0.01117890049981822</x:v>
      </x:c>
    </x:row>
    <x:row r="8">
      <x:c r="A8" s="66" t="str">
        <x:f>'收益矩阵'!A8</x:f>
        <x:v>R5</x:v>
      </x:c>
      <x:c r="B8" s="66" t="n">
        <x:f>'收益矩阵'!B8</x:f>
        <x:v>0.05946398176198604</x:v>
      </x:c>
      <x:c r="C8" s="66" t="n">
        <x:f>'收益矩阵'!C8</x:f>
        <x:v>0.058970721597126796</x:v>
      </x:c>
      <x:c r="D8" s="66" t="n">
        <x:f>'收益矩阵'!D8</x:f>
        <x:v>0.056956303241141024</x:v>
      </x:c>
      <x:c r="E8" s="66" t="n">
        <x:f>'收益矩阵'!E8</x:f>
        <x:v>0.056788555832777504</x:v>
      </x:c>
      <x:c r="G8" s="66" t="str">
        <x:f>'收益矩阵'!A8</x:f>
        <x:v>R5</x:v>
      </x:c>
      <x:c r="H8" s="66" t="n">
        <x:f>'收益矩阵'!F8</x:f>
        <x:v>0.006420332126160383</x:v>
      </x:c>
      <x:c r="I8" s="66" t="n">
        <x:f>'收益矩阵'!G8</x:f>
        <x:v>0.006053999444631306</x:v>
      </x:c>
      <x:c r="J8" s="66" t="n">
        <x:f>'收益矩阵'!H8</x:f>
        <x:v>0.00290221932364118</x:v>
      </x:c>
      <x:c r="K8" s="66" t="n">
        <x:f>'收益矩阵'!I8</x:f>
        <x:v>0.002240952698950989</x:v>
      </x:c>
    </x:row>
    <x:row r="9">
      <x:c r="A9" s="66" t="str">
        <x:f>'收益矩阵'!A9</x:f>
        <x:v>R6</x:v>
      </x:c>
      <x:c r="B9" s="66" t="n">
        <x:f>'收益矩阵'!B9</x:f>
        <x:v>0.05665240081819486</x:v>
      </x:c>
      <x:c r="C9" s="66" t="n">
        <x:f>'收益矩阵'!C9</x:f>
        <x:v>0.05585347142654406</x:v>
      </x:c>
      <x:c r="D9" s="66" t="n">
        <x:f>'收益矩阵'!D9</x:f>
        <x:v>0.05604841587231655</x:v>
      </x:c>
      <x:c r="E9" s="66" t="n">
        <x:f>'收益矩阵'!E9</x:f>
        <x:v>0.0537078723084856</x:v>
      </x:c>
      <x:c r="G9" s="66" t="str">
        <x:f>'收益矩阵'!A9</x:f>
        <x:v>R6</x:v>
      </x:c>
      <x:c r="H9" s="66" t="n">
        <x:f>'收益矩阵'!F9</x:f>
        <x:v>0.006076307613803509</x:v>
      </x:c>
      <x:c r="I9" s="66" t="n">
        <x:f>'收益矩阵'!G9</x:f>
        <x:v>0.0054581450144532825</x:v>
      </x:c>
      <x:c r="J9" s="66" t="n">
        <x:f>'收益矩阵'!H9</x:f>
        <x:v>0.0013775427440188808</x:v>
      </x:c>
      <x:c r="K9" s="66" t="n">
        <x:f>'收益矩阵'!I9</x:f>
        <x:v>0.0014497318691960024</x:v>
      </x:c>
    </x:row>
    <x:row r="10">
      <x:c r="A10" s="66" t="str">
        <x:f>'收益矩阵'!A10</x:f>
        <x:v>R7</x:v>
      </x:c>
      <x:c r="B10" s="66" t="n">
        <x:f>'收益矩阵'!B10</x:f>
        <x:v>0.05829690909996668</x:v>
      </x:c>
      <x:c r="C10" s="66" t="n">
        <x:f>'收益矩阵'!C10</x:f>
        <x:v>0.05770756122695125</x:v>
      </x:c>
      <x:c r="D10" s="66" t="n">
        <x:f>'收益矩阵'!D10</x:f>
        <x:v>0.058625697755663876</x:v>
      </x:c>
      <x:c r="E10" s="66" t="n">
        <x:f>'收益矩阵'!E10</x:f>
        <x:v>0.05978047541916589</x:v>
      </x:c>
      <x:c r="G10" s="66" t="str">
        <x:f>'收益矩阵'!A10</x:f>
        <x:v>R7</x:v>
      </x:c>
      <x:c r="H10" s="66" t="n">
        <x:f>'收益矩阵'!F10</x:f>
        <x:v>0.007349615036381422</x:v>
      </x:c>
      <x:c r="I10" s="66" t="n">
        <x:f>'收益矩阵'!G10</x:f>
        <x:v>0.006566384821301121</x:v>
      </x:c>
      <x:c r="J10" s="66" t="n">
        <x:f>'收益矩阵'!H10</x:f>
        <x:v>0.0018814493776417656</x:v>
      </x:c>
      <x:c r="K10" s="66" t="n">
        <x:f>'收益矩阵'!I10</x:f>
        <x:v>0.0012052669911774957</x:v>
      </x:c>
    </x:row>
    <x:row r="11">
      <x:c r="A11" s="66" t="str">
        <x:f>'收益矩阵'!A11</x:f>
        <x:v>R8</x:v>
      </x:c>
      <x:c r="B11" s="66" t="n">
        <x:f>'收益矩阵'!B11</x:f>
        <x:v>0.057835328261698626</x:v>
      </x:c>
      <x:c r="C11" s="66" t="n">
        <x:f>'收益矩阵'!C11</x:f>
        <x:v>0.05506306346699091</x:v>
      </x:c>
      <x:c r="D11" s="66" t="n">
        <x:f>'收益矩阵'!D11</x:f>
        <x:v>0.054117101947645546</x:v>
      </x:c>
      <x:c r="E11" s="66" t="n">
        <x:f>'收益矩阵'!E11</x:f>
        <x:v>0.05834359664076496</x:v>
      </x:c>
      <x:c r="G11" s="66" t="str">
        <x:f>'收益矩阵'!A11</x:f>
        <x:v>R8</x:v>
      </x:c>
      <x:c r="H11" s="66" t="n">
        <x:f>'收益矩阵'!F11</x:f>
        <x:v>0.004928518846559514</x:v>
      </x:c>
      <x:c r="I11" s="66" t="n">
        <x:f>'收益矩阵'!G11</x:f>
        <x:v>0.004806709433029225</x:v>
      </x:c>
      <x:c r="J11" s="66" t="n">
        <x:f>'收益矩阵'!H11</x:f>
        <x:v>0.0013423721549629861</x:v>
      </x:c>
      <x:c r="K11" s="66" t="n">
        <x:f>'收益矩阵'!I11</x:f>
        <x:v>0.0013507021639331245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c10ad5d7aa83475a"/>
</x:worksheet>
</file>